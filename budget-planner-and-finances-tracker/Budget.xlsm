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ab468f7e44bd1a6/Pulpit/"/>
    </mc:Choice>
  </mc:AlternateContent>
  <xr:revisionPtr revIDLastSave="0" documentId="8_{066A6C1F-764B-4CCC-84AA-194C2A5F3827}" xr6:coauthVersionLast="47" xr6:coauthVersionMax="47" xr10:uidLastSave="{00000000-0000-0000-0000-000000000000}"/>
  <bookViews>
    <workbookView xWindow="-120" yWindow="-120" windowWidth="29040" windowHeight="15720" xr2:uid="{E5C36CAE-3325-4353-AC0D-E4E8A856175F}"/>
  </bookViews>
  <sheets>
    <sheet name="1" sheetId="1" r:id="rId1"/>
    <sheet name="2" sheetId="4" r:id="rId2"/>
    <sheet name="3" sheetId="5" r:id="rId3"/>
    <sheet name="4" sheetId="6" r:id="rId4"/>
    <sheet name="5" sheetId="7" r:id="rId5"/>
    <sheet name="6" sheetId="8" r:id="rId6"/>
    <sheet name="7" sheetId="9" r:id="rId7"/>
    <sheet name="8" sheetId="10" r:id="rId8"/>
    <sheet name="9" sheetId="11" r:id="rId9"/>
    <sheet name="10" sheetId="12" r:id="rId10"/>
    <sheet name="11" sheetId="13" r:id="rId11"/>
    <sheet name="12" sheetId="14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4" l="1" a="1"/>
  <c r="C7" i="14" a="1"/>
  <c r="B7" i="14" a="1"/>
  <c r="B6" i="14" a="1"/>
  <c r="B5" i="14" a="1"/>
  <c r="D7" i="13" a="1"/>
  <c r="C7" i="13" a="1"/>
  <c r="B7" i="13" a="1"/>
  <c r="B6" i="13" a="1"/>
  <c r="B5" i="13" a="1"/>
  <c r="D7" i="12" a="1"/>
  <c r="C7" i="12" a="1"/>
  <c r="B7" i="12" a="1"/>
  <c r="B6" i="12" a="1"/>
  <c r="B5" i="12" a="1"/>
  <c r="D7" i="11" a="1"/>
  <c r="C7" i="11" a="1"/>
  <c r="B7" i="11" a="1"/>
  <c r="B6" i="11" a="1"/>
  <c r="B5" i="11" a="1"/>
  <c r="D7" i="10" a="1"/>
  <c r="C7" i="10" a="1"/>
  <c r="B7" i="10" a="1"/>
  <c r="B6" i="10" a="1"/>
  <c r="B5" i="10" a="1"/>
  <c r="D7" i="9" a="1"/>
  <c r="C7" i="9" a="1"/>
  <c r="B7" i="9" a="1"/>
  <c r="B6" i="9" a="1"/>
  <c r="B5" i="9" a="1"/>
  <c r="D7" i="8" a="1"/>
  <c r="C7" i="8" a="1"/>
  <c r="B7" i="8" a="1"/>
  <c r="B6" i="8" a="1"/>
  <c r="B5" i="8" a="1"/>
  <c r="D7" i="7" a="1"/>
  <c r="C7" i="7" a="1"/>
  <c r="B7" i="7" a="1"/>
  <c r="B6" i="7" a="1"/>
  <c r="B5" i="7" a="1"/>
  <c r="D7" i="5" a="1"/>
  <c r="C7" i="5" a="1"/>
  <c r="B7" i="5" a="1"/>
  <c r="B6" i="5" a="1"/>
  <c r="B5" i="5" a="1"/>
  <c r="D7" i="4" a="1"/>
  <c r="C7" i="4" a="1"/>
  <c r="B7" i="4" a="1"/>
  <c r="B6" i="4" a="1"/>
  <c r="B5" i="4" a="1"/>
  <c r="D7" i="1" a="1"/>
  <c r="C7" i="1" a="1"/>
  <c r="B7" i="1" a="1"/>
  <c r="B6" i="1" a="1"/>
  <c r="B5" i="1" a="1"/>
  <c r="D7" i="6" a="1"/>
  <c r="C7" i="6" a="1"/>
  <c r="B7" i="6" a="1"/>
  <c r="B6" i="6" a="1"/>
  <c r="B5" i="6" a="1"/>
  <c r="D7" i="14" l="1"/>
  <c r="C7" i="14"/>
  <c r="B7" i="14"/>
  <c r="B6" i="14"/>
  <c r="B5" i="14"/>
  <c r="D7" i="13"/>
  <c r="C7" i="13"/>
  <c r="B7" i="13"/>
  <c r="B6" i="13"/>
  <c r="B5" i="13"/>
  <c r="D7" i="12"/>
  <c r="C7" i="12"/>
  <c r="B7" i="12"/>
  <c r="B6" i="12"/>
  <c r="B5" i="12"/>
  <c r="D7" i="11"/>
  <c r="C7" i="11"/>
  <c r="B7" i="11"/>
  <c r="B6" i="11"/>
  <c r="B5" i="11"/>
  <c r="D7" i="10"/>
  <c r="C7" i="10"/>
  <c r="B7" i="10"/>
  <c r="B6" i="10"/>
  <c r="B5" i="10"/>
  <c r="D7" i="9"/>
  <c r="C7" i="9"/>
  <c r="B7" i="9"/>
  <c r="B6" i="9"/>
  <c r="B5" i="9"/>
  <c r="D7" i="8"/>
  <c r="C7" i="8"/>
  <c r="B7" i="8"/>
  <c r="B6" i="8"/>
  <c r="B5" i="8"/>
  <c r="D7" i="7"/>
  <c r="C7" i="7"/>
  <c r="B7" i="7"/>
  <c r="B6" i="7"/>
  <c r="B5" i="7"/>
  <c r="D7" i="5"/>
  <c r="C7" i="5"/>
  <c r="B7" i="5"/>
  <c r="B6" i="5"/>
  <c r="B5" i="5"/>
  <c r="D7" i="4"/>
  <c r="C7" i="4"/>
  <c r="B7" i="4"/>
  <c r="B6" i="4"/>
  <c r="B5" i="4"/>
  <c r="D7" i="1"/>
  <c r="C7" i="1"/>
  <c r="B7" i="1"/>
  <c r="B6" i="1"/>
  <c r="B5" i="1"/>
  <c r="D7" i="6"/>
  <c r="C7" i="6"/>
  <c r="B7" i="6"/>
  <c r="B6" i="6"/>
  <c r="B5" i="6"/>
  <c r="W28" i="14" l="1"/>
  <c r="V28" i="14"/>
  <c r="S28" i="14"/>
  <c r="R28" i="14"/>
  <c r="N28" i="14"/>
  <c r="M28" i="14"/>
  <c r="G28" i="14"/>
  <c r="B28" i="14"/>
  <c r="X27" i="14"/>
  <c r="I27" i="14"/>
  <c r="X26" i="14"/>
  <c r="I26" i="14"/>
  <c r="X25" i="14"/>
  <c r="I25" i="14"/>
  <c r="X24" i="14"/>
  <c r="I24" i="14"/>
  <c r="X23" i="14"/>
  <c r="I23" i="14"/>
  <c r="X22" i="14"/>
  <c r="I22" i="14"/>
  <c r="X21" i="14"/>
  <c r="X20" i="14"/>
  <c r="X19" i="14"/>
  <c r="X18" i="14"/>
  <c r="X17" i="14"/>
  <c r="X16" i="14"/>
  <c r="X15" i="14"/>
  <c r="X14" i="14"/>
  <c r="X13" i="14"/>
  <c r="X28" i="14" s="1"/>
  <c r="A2" i="14" a="1"/>
  <c r="A2" i="14" s="1"/>
  <c r="W28" i="13"/>
  <c r="V28" i="13"/>
  <c r="S28" i="13"/>
  <c r="R28" i="13"/>
  <c r="N28" i="13"/>
  <c r="M28" i="13"/>
  <c r="G28" i="13"/>
  <c r="B28" i="13"/>
  <c r="X27" i="13"/>
  <c r="I27" i="13"/>
  <c r="X26" i="13"/>
  <c r="I26" i="13"/>
  <c r="X25" i="13"/>
  <c r="I25" i="13"/>
  <c r="X24" i="13"/>
  <c r="I24" i="13"/>
  <c r="X23" i="13"/>
  <c r="I23" i="13"/>
  <c r="X22" i="13"/>
  <c r="I22" i="13"/>
  <c r="X21" i="13"/>
  <c r="X20" i="13"/>
  <c r="X19" i="13"/>
  <c r="X18" i="13"/>
  <c r="X17" i="13"/>
  <c r="X16" i="13"/>
  <c r="X15" i="13"/>
  <c r="X14" i="13"/>
  <c r="X13" i="13"/>
  <c r="X28" i="13" s="1"/>
  <c r="A2" i="13" a="1"/>
  <c r="A2" i="13" s="1"/>
  <c r="W28" i="12"/>
  <c r="V28" i="12"/>
  <c r="S28" i="12"/>
  <c r="R28" i="12"/>
  <c r="N28" i="12"/>
  <c r="M28" i="12"/>
  <c r="G28" i="12"/>
  <c r="B28" i="12"/>
  <c r="X27" i="12"/>
  <c r="I27" i="12"/>
  <c r="X26" i="12"/>
  <c r="I26" i="12"/>
  <c r="X25" i="12"/>
  <c r="I25" i="12"/>
  <c r="X24" i="12"/>
  <c r="I24" i="12"/>
  <c r="X23" i="12"/>
  <c r="I23" i="12"/>
  <c r="X22" i="12"/>
  <c r="I22" i="12"/>
  <c r="X21" i="12"/>
  <c r="X20" i="12"/>
  <c r="X19" i="12"/>
  <c r="X18" i="12"/>
  <c r="X17" i="12"/>
  <c r="X16" i="12"/>
  <c r="X15" i="12"/>
  <c r="X14" i="12"/>
  <c r="X13" i="12"/>
  <c r="X28" i="12" s="1"/>
  <c r="A2" i="12" a="1"/>
  <c r="A2" i="12" s="1"/>
  <c r="W28" i="11"/>
  <c r="V28" i="11"/>
  <c r="S28" i="11"/>
  <c r="R28" i="11"/>
  <c r="N28" i="11"/>
  <c r="M28" i="11"/>
  <c r="G28" i="11"/>
  <c r="B28" i="11"/>
  <c r="X27" i="11"/>
  <c r="I27" i="11"/>
  <c r="X26" i="11"/>
  <c r="I26" i="11"/>
  <c r="X25" i="11"/>
  <c r="I25" i="11"/>
  <c r="X24" i="11"/>
  <c r="I24" i="11"/>
  <c r="X23" i="11"/>
  <c r="I23" i="11"/>
  <c r="X22" i="11"/>
  <c r="I22" i="11"/>
  <c r="X21" i="11"/>
  <c r="X20" i="11"/>
  <c r="X19" i="11"/>
  <c r="X18" i="11"/>
  <c r="X17" i="11"/>
  <c r="X16" i="11"/>
  <c r="X15" i="11"/>
  <c r="X14" i="11"/>
  <c r="X13" i="11"/>
  <c r="X28" i="11" s="1"/>
  <c r="A2" i="11" a="1"/>
  <c r="A2" i="11" s="1"/>
  <c r="W28" i="10"/>
  <c r="V28" i="10"/>
  <c r="S28" i="10"/>
  <c r="R28" i="10"/>
  <c r="N28" i="10"/>
  <c r="M28" i="10"/>
  <c r="G28" i="10"/>
  <c r="B28" i="10"/>
  <c r="X27" i="10"/>
  <c r="I27" i="10"/>
  <c r="X26" i="10"/>
  <c r="I26" i="10"/>
  <c r="X25" i="10"/>
  <c r="I25" i="10"/>
  <c r="X24" i="10"/>
  <c r="I24" i="10"/>
  <c r="X23" i="10"/>
  <c r="I23" i="10"/>
  <c r="X22" i="10"/>
  <c r="I22" i="10"/>
  <c r="X21" i="10"/>
  <c r="X20" i="10"/>
  <c r="X19" i="10"/>
  <c r="X18" i="10"/>
  <c r="X17" i="10"/>
  <c r="X16" i="10"/>
  <c r="X15" i="10"/>
  <c r="X14" i="10"/>
  <c r="X13" i="10"/>
  <c r="X28" i="10" s="1"/>
  <c r="A2" i="10" a="1"/>
  <c r="A2" i="10" s="1"/>
  <c r="W28" i="9"/>
  <c r="V28" i="9"/>
  <c r="S28" i="9"/>
  <c r="R28" i="9"/>
  <c r="N28" i="9"/>
  <c r="M28" i="9"/>
  <c r="G28" i="9"/>
  <c r="B28" i="9"/>
  <c r="X27" i="9"/>
  <c r="I27" i="9"/>
  <c r="X26" i="9"/>
  <c r="I26" i="9"/>
  <c r="X25" i="9"/>
  <c r="I25" i="9"/>
  <c r="X24" i="9"/>
  <c r="I24" i="9"/>
  <c r="X23" i="9"/>
  <c r="I23" i="9"/>
  <c r="X22" i="9"/>
  <c r="I22" i="9"/>
  <c r="X21" i="9"/>
  <c r="X20" i="9"/>
  <c r="X19" i="9"/>
  <c r="X18" i="9"/>
  <c r="X17" i="9"/>
  <c r="X16" i="9"/>
  <c r="X15" i="9"/>
  <c r="X14" i="9"/>
  <c r="X13" i="9"/>
  <c r="A2" i="9" a="1"/>
  <c r="A2" i="9" s="1"/>
  <c r="W28" i="8"/>
  <c r="V28" i="8"/>
  <c r="S28" i="8"/>
  <c r="R28" i="8"/>
  <c r="N28" i="8"/>
  <c r="M28" i="8"/>
  <c r="G28" i="8"/>
  <c r="B28" i="8"/>
  <c r="X27" i="8"/>
  <c r="I27" i="8"/>
  <c r="X26" i="8"/>
  <c r="I26" i="8"/>
  <c r="X25" i="8"/>
  <c r="I25" i="8"/>
  <c r="X24" i="8"/>
  <c r="I24" i="8"/>
  <c r="X23" i="8"/>
  <c r="I23" i="8"/>
  <c r="X22" i="8"/>
  <c r="I22" i="8"/>
  <c r="X21" i="8"/>
  <c r="X20" i="8"/>
  <c r="X19" i="8"/>
  <c r="X18" i="8"/>
  <c r="X17" i="8"/>
  <c r="X16" i="8"/>
  <c r="X15" i="8"/>
  <c r="X14" i="8"/>
  <c r="X13" i="8"/>
  <c r="A2" i="8" a="1"/>
  <c r="A2" i="8" s="1"/>
  <c r="W28" i="7"/>
  <c r="V28" i="7"/>
  <c r="S28" i="7"/>
  <c r="R28" i="7"/>
  <c r="N28" i="7"/>
  <c r="M28" i="7"/>
  <c r="G28" i="7"/>
  <c r="B28" i="7"/>
  <c r="X27" i="7"/>
  <c r="I27" i="7"/>
  <c r="X26" i="7"/>
  <c r="I26" i="7"/>
  <c r="X25" i="7"/>
  <c r="I25" i="7"/>
  <c r="X24" i="7"/>
  <c r="I24" i="7"/>
  <c r="X23" i="7"/>
  <c r="I23" i="7"/>
  <c r="X22" i="7"/>
  <c r="I22" i="7"/>
  <c r="X21" i="7"/>
  <c r="X20" i="7"/>
  <c r="X19" i="7"/>
  <c r="X18" i="7"/>
  <c r="X17" i="7"/>
  <c r="X16" i="7"/>
  <c r="X15" i="7"/>
  <c r="X14" i="7"/>
  <c r="X13" i="7"/>
  <c r="X28" i="7" s="1"/>
  <c r="A2" i="7" a="1"/>
  <c r="A2" i="7" s="1"/>
  <c r="X28" i="6"/>
  <c r="W28" i="6"/>
  <c r="V28" i="6"/>
  <c r="S28" i="6"/>
  <c r="R28" i="6"/>
  <c r="N28" i="6"/>
  <c r="M28" i="6"/>
  <c r="G28" i="6"/>
  <c r="B28" i="6"/>
  <c r="X27" i="6"/>
  <c r="I27" i="6"/>
  <c r="X26" i="6"/>
  <c r="I26" i="6"/>
  <c r="X25" i="6"/>
  <c r="I25" i="6"/>
  <c r="X24" i="6"/>
  <c r="I24" i="6"/>
  <c r="X23" i="6"/>
  <c r="I23" i="6"/>
  <c r="X22" i="6"/>
  <c r="I22" i="6"/>
  <c r="X21" i="6"/>
  <c r="X20" i="6"/>
  <c r="X19" i="6"/>
  <c r="X18" i="6"/>
  <c r="X17" i="6"/>
  <c r="X16" i="6"/>
  <c r="X15" i="6"/>
  <c r="X14" i="6"/>
  <c r="X13" i="6"/>
  <c r="A2" i="6" a="1"/>
  <c r="A2" i="6" s="1"/>
  <c r="X28" i="5"/>
  <c r="W28" i="5"/>
  <c r="V28" i="5"/>
  <c r="S28" i="5"/>
  <c r="R28" i="5"/>
  <c r="N28" i="5"/>
  <c r="M28" i="5"/>
  <c r="G28" i="5"/>
  <c r="B28" i="5"/>
  <c r="X27" i="5"/>
  <c r="I27" i="5"/>
  <c r="X26" i="5"/>
  <c r="I26" i="5"/>
  <c r="X25" i="5"/>
  <c r="I25" i="5"/>
  <c r="X24" i="5"/>
  <c r="I24" i="5"/>
  <c r="X23" i="5"/>
  <c r="I23" i="5"/>
  <c r="X22" i="5"/>
  <c r="I22" i="5"/>
  <c r="X21" i="5"/>
  <c r="X20" i="5"/>
  <c r="X19" i="5"/>
  <c r="X18" i="5"/>
  <c r="X17" i="5"/>
  <c r="X16" i="5"/>
  <c r="X15" i="5"/>
  <c r="X14" i="5"/>
  <c r="X13" i="5"/>
  <c r="A2" i="5" a="1"/>
  <c r="A2" i="5" s="1"/>
  <c r="W28" i="4"/>
  <c r="V28" i="4"/>
  <c r="S28" i="4"/>
  <c r="R28" i="4"/>
  <c r="N28" i="4"/>
  <c r="M28" i="4"/>
  <c r="G28" i="4"/>
  <c r="B28" i="4"/>
  <c r="X27" i="4"/>
  <c r="I27" i="4"/>
  <c r="X26" i="4"/>
  <c r="I26" i="4"/>
  <c r="X25" i="4"/>
  <c r="I25" i="4"/>
  <c r="X24" i="4"/>
  <c r="I24" i="4"/>
  <c r="X23" i="4"/>
  <c r="I23" i="4"/>
  <c r="X22" i="4"/>
  <c r="I22" i="4"/>
  <c r="X21" i="4"/>
  <c r="X20" i="4"/>
  <c r="X19" i="4"/>
  <c r="X18" i="4"/>
  <c r="X17" i="4"/>
  <c r="X16" i="4"/>
  <c r="X15" i="4"/>
  <c r="X14" i="4"/>
  <c r="X13" i="4"/>
  <c r="X28" i="4" s="1"/>
  <c r="A2" i="4" a="1"/>
  <c r="A2" i="4" s="1"/>
  <c r="X13" i="1"/>
  <c r="X28" i="1" s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W28" i="1"/>
  <c r="S28" i="1"/>
  <c r="V28" i="1"/>
  <c r="R28" i="1"/>
  <c r="M28" i="1"/>
  <c r="N28" i="1"/>
  <c r="G28" i="1"/>
  <c r="B28" i="1"/>
  <c r="H13" i="14" a="1"/>
  <c r="H13" i="13" a="1"/>
  <c r="H13" i="12" a="1"/>
  <c r="H13" i="11" a="1"/>
  <c r="H13" i="10" a="1"/>
  <c r="H13" i="9" a="1"/>
  <c r="H13" i="7" a="1"/>
  <c r="H13" i="6" a="1"/>
  <c r="H13" i="5" a="1"/>
  <c r="H13" i="4" a="1"/>
  <c r="H13" i="14" l="1"/>
  <c r="H13" i="13"/>
  <c r="H13" i="12"/>
  <c r="H13" i="11"/>
  <c r="H13" i="10"/>
  <c r="X28" i="9"/>
  <c r="H13" i="9"/>
  <c r="H13" i="7"/>
  <c r="H13" i="6"/>
  <c r="H13" i="5"/>
  <c r="H13" i="4"/>
  <c r="Q15" i="8"/>
  <c r="L15" i="14"/>
  <c r="Q14" i="14"/>
  <c r="L18" i="14"/>
  <c r="Q17" i="14"/>
  <c r="L14" i="14"/>
  <c r="Q13" i="14"/>
  <c r="L17" i="14"/>
  <c r="Q16" i="14"/>
  <c r="L13" i="14"/>
  <c r="L16" i="14"/>
  <c r="Q15" i="14"/>
  <c r="Q15" i="13"/>
  <c r="L16" i="13"/>
  <c r="L13" i="13"/>
  <c r="Q16" i="13"/>
  <c r="L17" i="13"/>
  <c r="Q13" i="13"/>
  <c r="L14" i="13"/>
  <c r="Q17" i="13"/>
  <c r="L18" i="13"/>
  <c r="Q14" i="13"/>
  <c r="L15" i="13"/>
  <c r="L15" i="12"/>
  <c r="Q14" i="12"/>
  <c r="L18" i="12"/>
  <c r="Q17" i="12"/>
  <c r="L14" i="12"/>
  <c r="Q13" i="12"/>
  <c r="L17" i="12"/>
  <c r="Q16" i="12"/>
  <c r="L13" i="12"/>
  <c r="L16" i="12"/>
  <c r="Q15" i="12"/>
  <c r="L15" i="11"/>
  <c r="L18" i="11"/>
  <c r="Q17" i="11"/>
  <c r="L14" i="11"/>
  <c r="Q13" i="11"/>
  <c r="L17" i="11"/>
  <c r="Q16" i="11"/>
  <c r="L13" i="11"/>
  <c r="L16" i="11"/>
  <c r="Q15" i="11"/>
  <c r="Q14" i="11"/>
  <c r="L15" i="10"/>
  <c r="Q14" i="10"/>
  <c r="L17" i="10"/>
  <c r="Q16" i="10"/>
  <c r="L18" i="10"/>
  <c r="Q17" i="10"/>
  <c r="L14" i="10"/>
  <c r="Q13" i="10"/>
  <c r="L13" i="10"/>
  <c r="L16" i="10"/>
  <c r="Q15" i="10"/>
  <c r="L15" i="9"/>
  <c r="Q14" i="9"/>
  <c r="L16" i="9"/>
  <c r="Q15" i="9"/>
  <c r="L18" i="9"/>
  <c r="Q17" i="9"/>
  <c r="L14" i="9"/>
  <c r="Q13" i="9"/>
  <c r="L17" i="9"/>
  <c r="Q16" i="9"/>
  <c r="L13" i="9"/>
  <c r="L15" i="8"/>
  <c r="Q14" i="8"/>
  <c r="L18" i="8"/>
  <c r="Q17" i="8"/>
  <c r="L14" i="8"/>
  <c r="Q13" i="8"/>
  <c r="L17" i="8"/>
  <c r="Q16" i="8"/>
  <c r="L13" i="8"/>
  <c r="X28" i="8"/>
  <c r="L16" i="8"/>
  <c r="L15" i="7"/>
  <c r="Q14" i="7"/>
  <c r="L18" i="7"/>
  <c r="Q17" i="7"/>
  <c r="L14" i="7"/>
  <c r="Q13" i="7"/>
  <c r="L17" i="7"/>
  <c r="Q16" i="7"/>
  <c r="L13" i="7"/>
  <c r="L16" i="7"/>
  <c r="Q15" i="7"/>
  <c r="L18" i="6"/>
  <c r="Q17" i="6"/>
  <c r="L14" i="6"/>
  <c r="Q13" i="6"/>
  <c r="L17" i="6"/>
  <c r="Q16" i="6"/>
  <c r="L13" i="6"/>
  <c r="L16" i="6"/>
  <c r="Q15" i="6"/>
  <c r="L15" i="6"/>
  <c r="Q14" i="6"/>
  <c r="Q14" i="5"/>
  <c r="L15" i="5"/>
  <c r="Q15" i="5"/>
  <c r="L16" i="5"/>
  <c r="L13" i="5"/>
  <c r="Q16" i="5"/>
  <c r="L17" i="5"/>
  <c r="Q13" i="5"/>
  <c r="L14" i="5"/>
  <c r="Q17" i="5"/>
  <c r="L18" i="5"/>
  <c r="L17" i="4"/>
  <c r="Q16" i="4"/>
  <c r="L13" i="4"/>
  <c r="L18" i="4"/>
  <c r="L16" i="4"/>
  <c r="Q15" i="4"/>
  <c r="L15" i="4"/>
  <c r="Q14" i="4"/>
  <c r="Q17" i="4"/>
  <c r="L14" i="4"/>
  <c r="Q13" i="4"/>
  <c r="H15" i="14" a="1"/>
  <c r="H21" i="14" a="1"/>
  <c r="H16" i="14" a="1"/>
  <c r="H17" i="14" a="1"/>
  <c r="H18" i="14" a="1"/>
  <c r="H14" i="14" a="1"/>
  <c r="H19" i="14" a="1"/>
  <c r="H20" i="14" a="1"/>
  <c r="C13" i="14" a="1"/>
  <c r="C17" i="14" a="1"/>
  <c r="C19" i="14" a="1"/>
  <c r="C18" i="14" a="1"/>
  <c r="C23" i="14" a="1"/>
  <c r="C25" i="14" a="1"/>
  <c r="C24" i="14" a="1"/>
  <c r="C14" i="14" a="1"/>
  <c r="C20" i="14" a="1"/>
  <c r="C26" i="14" a="1"/>
  <c r="C15" i="14" a="1"/>
  <c r="C21" i="14" a="1"/>
  <c r="C27" i="14" a="1"/>
  <c r="C16" i="14" a="1"/>
  <c r="C22" i="14" a="1"/>
  <c r="H14" i="13" a="1"/>
  <c r="H15" i="13" a="1"/>
  <c r="H21" i="13" a="1"/>
  <c r="H16" i="13" a="1"/>
  <c r="H17" i="13" a="1"/>
  <c r="H20" i="13" a="1"/>
  <c r="H18" i="13" a="1"/>
  <c r="H19" i="13" a="1"/>
  <c r="C13" i="13" a="1"/>
  <c r="C23" i="13" a="1"/>
  <c r="C19" i="13" a="1"/>
  <c r="C18" i="13" a="1"/>
  <c r="C24" i="13" a="1"/>
  <c r="C25" i="13" a="1"/>
  <c r="C14" i="13" a="1"/>
  <c r="C20" i="13" a="1"/>
  <c r="C26" i="13" a="1"/>
  <c r="C15" i="13" a="1"/>
  <c r="C21" i="13" a="1"/>
  <c r="C27" i="13" a="1"/>
  <c r="C16" i="13" a="1"/>
  <c r="C22" i="13" a="1"/>
  <c r="C17" i="13" a="1"/>
  <c r="H14" i="12" a="1"/>
  <c r="H20" i="12" a="1"/>
  <c r="H15" i="12" a="1"/>
  <c r="H21" i="12" a="1"/>
  <c r="H17" i="12" a="1"/>
  <c r="H16" i="12" a="1"/>
  <c r="H18" i="12" a="1"/>
  <c r="H19" i="12" a="1"/>
  <c r="C13" i="12" a="1"/>
  <c r="C26" i="12" a="1"/>
  <c r="C19" i="12" a="1"/>
  <c r="C18" i="12" a="1"/>
  <c r="C25" i="12" a="1"/>
  <c r="C24" i="12" a="1"/>
  <c r="C20" i="12" a="1"/>
  <c r="C14" i="12" a="1"/>
  <c r="C21" i="12" a="1"/>
  <c r="C15" i="12" a="1"/>
  <c r="C27" i="12" a="1"/>
  <c r="C16" i="12" a="1"/>
  <c r="C22" i="12" a="1"/>
  <c r="C17" i="12" a="1"/>
  <c r="C23" i="12" a="1"/>
  <c r="H14" i="11" a="1"/>
  <c r="H20" i="11" a="1"/>
  <c r="H21" i="11" a="1"/>
  <c r="H15" i="11" a="1"/>
  <c r="H16" i="11" a="1"/>
  <c r="H17" i="11" a="1"/>
  <c r="H18" i="11" a="1"/>
  <c r="H19" i="11" a="1"/>
  <c r="C13" i="11" a="1"/>
  <c r="C23" i="11" a="1"/>
  <c r="C19" i="11" a="1"/>
  <c r="C18" i="11" a="1"/>
  <c r="C25" i="11" a="1"/>
  <c r="C26" i="11" a="1"/>
  <c r="C20" i="11" a="1"/>
  <c r="C14" i="11" a="1"/>
  <c r="C15" i="11" a="1"/>
  <c r="C21" i="11" a="1"/>
  <c r="C16" i="11" a="1"/>
  <c r="C27" i="11" a="1"/>
  <c r="C24" i="11" a="1"/>
  <c r="C22" i="11" a="1"/>
  <c r="C17" i="11" a="1"/>
  <c r="H14" i="10" a="1"/>
  <c r="H20" i="10" a="1"/>
  <c r="H15" i="10" a="1"/>
  <c r="H21" i="10" a="1"/>
  <c r="H16" i="10" a="1"/>
  <c r="H17" i="10" a="1"/>
  <c r="H18" i="10" a="1"/>
  <c r="H19" i="10" a="1"/>
  <c r="C13" i="10" a="1"/>
  <c r="C23" i="10" a="1"/>
  <c r="C19" i="10" a="1"/>
  <c r="C18" i="10" a="1"/>
  <c r="C25" i="10" a="1"/>
  <c r="C24" i="10" a="1"/>
  <c r="C14" i="10" a="1"/>
  <c r="C20" i="10" a="1"/>
  <c r="C26" i="10" a="1"/>
  <c r="C15" i="10" a="1"/>
  <c r="C21" i="10" a="1"/>
  <c r="C27" i="10" a="1"/>
  <c r="C16" i="10" a="1"/>
  <c r="C22" i="10" a="1"/>
  <c r="C17" i="10" a="1"/>
  <c r="H15" i="9" a="1"/>
  <c r="H21" i="9" a="1"/>
  <c r="H16" i="9" a="1"/>
  <c r="H14" i="9" a="1"/>
  <c r="H17" i="9" a="1"/>
  <c r="H20" i="9" a="1"/>
  <c r="H18" i="9" a="1"/>
  <c r="H19" i="9" a="1"/>
  <c r="C13" i="9" a="1"/>
  <c r="C21" i="9" a="1"/>
  <c r="C17" i="9" a="1"/>
  <c r="C19" i="9" a="1"/>
  <c r="C18" i="9" a="1"/>
  <c r="C25" i="9" a="1"/>
  <c r="C24" i="9" a="1"/>
  <c r="C23" i="9" a="1"/>
  <c r="C15" i="9" a="1"/>
  <c r="C27" i="9" a="1"/>
  <c r="C14" i="9" a="1"/>
  <c r="C20" i="9" a="1"/>
  <c r="C26" i="9" a="1"/>
  <c r="C16" i="9" a="1"/>
  <c r="C22" i="9" a="1"/>
  <c r="H14" i="7" a="1"/>
  <c r="H20" i="7" a="1"/>
  <c r="H15" i="7" a="1"/>
  <c r="H21" i="7" a="1"/>
  <c r="H16" i="7" a="1"/>
  <c r="H17" i="7" a="1"/>
  <c r="H18" i="7" a="1"/>
  <c r="H19" i="7" a="1"/>
  <c r="C13" i="7" a="1"/>
  <c r="C17" i="7" a="1"/>
  <c r="C23" i="7" a="1"/>
  <c r="C19" i="7" a="1"/>
  <c r="C18" i="7" a="1"/>
  <c r="C25" i="7" a="1"/>
  <c r="C24" i="7" a="1"/>
  <c r="C16" i="7" a="1"/>
  <c r="C14" i="7" a="1"/>
  <c r="C22" i="7" a="1"/>
  <c r="C20" i="7" a="1"/>
  <c r="C26" i="7" a="1"/>
  <c r="C15" i="7" a="1"/>
  <c r="C21" i="7" a="1"/>
  <c r="C27" i="7" a="1"/>
  <c r="H14" i="6" a="1"/>
  <c r="H20" i="6" a="1"/>
  <c r="H15" i="6" a="1"/>
  <c r="H21" i="6" a="1"/>
  <c r="H16" i="6" a="1"/>
  <c r="H17" i="6" a="1"/>
  <c r="H18" i="6" a="1"/>
  <c r="H19" i="6" a="1"/>
  <c r="C13" i="6" a="1"/>
  <c r="C23" i="6" a="1"/>
  <c r="C19" i="6" a="1"/>
  <c r="C18" i="6" a="1"/>
  <c r="C16" i="6" a="1"/>
  <c r="C25" i="6" a="1"/>
  <c r="C24" i="6" a="1"/>
  <c r="C14" i="6" a="1"/>
  <c r="C20" i="6" a="1"/>
  <c r="C26" i="6" a="1"/>
  <c r="C15" i="6" a="1"/>
  <c r="C21" i="6" a="1"/>
  <c r="C27" i="6" a="1"/>
  <c r="C22" i="6" a="1"/>
  <c r="C17" i="6" a="1"/>
  <c r="H14" i="5" a="1"/>
  <c r="H20" i="5" a="1"/>
  <c r="H15" i="5" a="1"/>
  <c r="H21" i="5" a="1"/>
  <c r="H16" i="5" a="1"/>
  <c r="H17" i="5" a="1"/>
  <c r="H18" i="5" a="1"/>
  <c r="H19" i="5" a="1"/>
  <c r="C13" i="5" a="1"/>
  <c r="C17" i="5" a="1"/>
  <c r="C19" i="5" a="1"/>
  <c r="C23" i="5" a="1"/>
  <c r="C25" i="5" a="1"/>
  <c r="C18" i="5" a="1"/>
  <c r="C14" i="5" a="1"/>
  <c r="C20" i="5" a="1"/>
  <c r="C26" i="5" a="1"/>
  <c r="C15" i="5" a="1"/>
  <c r="C21" i="5" a="1"/>
  <c r="C27" i="5" a="1"/>
  <c r="C24" i="5" a="1"/>
  <c r="C16" i="5" a="1"/>
  <c r="C22" i="5" a="1"/>
  <c r="H14" i="4" a="1"/>
  <c r="H20" i="4" a="1"/>
  <c r="H15" i="4" a="1"/>
  <c r="H21" i="4" a="1"/>
  <c r="H16" i="4" a="1"/>
  <c r="H17" i="4" a="1"/>
  <c r="H18" i="4" a="1"/>
  <c r="H19" i="4" a="1"/>
  <c r="C13" i="4" a="1"/>
  <c r="C23" i="4" a="1"/>
  <c r="C18" i="4" a="1"/>
  <c r="C19" i="4" a="1"/>
  <c r="C25" i="4" a="1"/>
  <c r="C24" i="4" a="1"/>
  <c r="C14" i="4" a="1"/>
  <c r="C20" i="4" a="1"/>
  <c r="C26" i="4" a="1"/>
  <c r="C15" i="4" a="1"/>
  <c r="C21" i="4" a="1"/>
  <c r="C27" i="4" a="1"/>
  <c r="C16" i="4" a="1"/>
  <c r="C17" i="4" a="1"/>
  <c r="C22" i="4" a="1"/>
  <c r="H14" i="8" a="1"/>
  <c r="H20" i="8" a="1"/>
  <c r="H15" i="8" a="1"/>
  <c r="H21" i="8" a="1"/>
  <c r="H16" i="8" a="1"/>
  <c r="H17" i="8" a="1"/>
  <c r="H18" i="8" a="1"/>
  <c r="H19" i="8" a="1"/>
  <c r="H13" i="8" a="1"/>
  <c r="C24" i="8" a="1"/>
  <c r="C25" i="8" a="1"/>
  <c r="C18" i="8" a="1"/>
  <c r="C19" i="8" a="1"/>
  <c r="C23" i="8" a="1"/>
  <c r="C13" i="8" a="1"/>
  <c r="C17" i="8" a="1"/>
  <c r="C22" i="8" a="1"/>
  <c r="C16" i="8" a="1"/>
  <c r="C27" i="8" a="1"/>
  <c r="C21" i="8" a="1"/>
  <c r="C15" i="8" a="1"/>
  <c r="C26" i="8" a="1"/>
  <c r="C20" i="8" a="1"/>
  <c r="C14" i="8" a="1"/>
  <c r="H20" i="14" l="1"/>
  <c r="H19" i="14"/>
  <c r="H14" i="14"/>
  <c r="H18" i="14"/>
  <c r="H17" i="14"/>
  <c r="H16" i="14"/>
  <c r="H21" i="14"/>
  <c r="H15" i="14"/>
  <c r="C22" i="14"/>
  <c r="D22" i="14" s="1"/>
  <c r="C16" i="14"/>
  <c r="C27" i="14"/>
  <c r="D27" i="14" s="1"/>
  <c r="C21" i="14"/>
  <c r="D21" i="14" s="1"/>
  <c r="C15" i="14"/>
  <c r="C26" i="14"/>
  <c r="D26" i="14" s="1"/>
  <c r="C20" i="14"/>
  <c r="D20" i="14" s="1"/>
  <c r="C14" i="14"/>
  <c r="C24" i="14"/>
  <c r="D24" i="14" s="1"/>
  <c r="C25" i="14"/>
  <c r="D25" i="14" s="1"/>
  <c r="C23" i="14"/>
  <c r="D23" i="14" s="1"/>
  <c r="C18" i="14"/>
  <c r="C19" i="14"/>
  <c r="D19" i="14" s="1"/>
  <c r="C17" i="14"/>
  <c r="C13" i="14"/>
  <c r="H19" i="13"/>
  <c r="H18" i="13"/>
  <c r="H20" i="13"/>
  <c r="H17" i="13"/>
  <c r="H16" i="13"/>
  <c r="H21" i="13"/>
  <c r="H15" i="13"/>
  <c r="H14" i="13"/>
  <c r="C17" i="13"/>
  <c r="C22" i="13"/>
  <c r="D22" i="13" s="1"/>
  <c r="C16" i="13"/>
  <c r="C27" i="13"/>
  <c r="D27" i="13" s="1"/>
  <c r="C21" i="13"/>
  <c r="D21" i="13" s="1"/>
  <c r="C15" i="13"/>
  <c r="C26" i="13"/>
  <c r="D26" i="13" s="1"/>
  <c r="C20" i="13"/>
  <c r="D20" i="13" s="1"/>
  <c r="C14" i="13"/>
  <c r="C25" i="13"/>
  <c r="D25" i="13" s="1"/>
  <c r="C24" i="13"/>
  <c r="D24" i="13" s="1"/>
  <c r="C18" i="13"/>
  <c r="C19" i="13"/>
  <c r="D19" i="13" s="1"/>
  <c r="C23" i="13"/>
  <c r="D23" i="13" s="1"/>
  <c r="C13" i="13"/>
  <c r="H19" i="12"/>
  <c r="H18" i="12"/>
  <c r="H16" i="12"/>
  <c r="H17" i="12"/>
  <c r="H21" i="12"/>
  <c r="H15" i="12"/>
  <c r="H20" i="12"/>
  <c r="H14" i="12"/>
  <c r="C23" i="12"/>
  <c r="D23" i="12" s="1"/>
  <c r="C17" i="12"/>
  <c r="C22" i="12"/>
  <c r="D22" i="12" s="1"/>
  <c r="C16" i="12"/>
  <c r="C27" i="12"/>
  <c r="D27" i="12" s="1"/>
  <c r="C15" i="12"/>
  <c r="C21" i="12"/>
  <c r="D21" i="12" s="1"/>
  <c r="C14" i="12"/>
  <c r="C20" i="12"/>
  <c r="D20" i="12" s="1"/>
  <c r="C24" i="12"/>
  <c r="D24" i="12" s="1"/>
  <c r="C25" i="12"/>
  <c r="D25" i="12" s="1"/>
  <c r="C18" i="12"/>
  <c r="C19" i="12"/>
  <c r="D19" i="12" s="1"/>
  <c r="C26" i="12"/>
  <c r="D26" i="12" s="1"/>
  <c r="C13" i="12"/>
  <c r="H19" i="11"/>
  <c r="H18" i="11"/>
  <c r="H17" i="11"/>
  <c r="H16" i="11"/>
  <c r="H15" i="11"/>
  <c r="H21" i="11"/>
  <c r="H20" i="11"/>
  <c r="H14" i="11"/>
  <c r="C17" i="11"/>
  <c r="C22" i="11"/>
  <c r="D22" i="11" s="1"/>
  <c r="C24" i="11"/>
  <c r="D24" i="11" s="1"/>
  <c r="C27" i="11"/>
  <c r="D27" i="11" s="1"/>
  <c r="C16" i="11"/>
  <c r="C21" i="11"/>
  <c r="D21" i="11" s="1"/>
  <c r="C15" i="11"/>
  <c r="C14" i="11"/>
  <c r="C20" i="11"/>
  <c r="D20" i="11" s="1"/>
  <c r="C26" i="11"/>
  <c r="D26" i="11" s="1"/>
  <c r="C25" i="11"/>
  <c r="D25" i="11" s="1"/>
  <c r="C18" i="11"/>
  <c r="C19" i="11"/>
  <c r="D19" i="11" s="1"/>
  <c r="C23" i="11"/>
  <c r="D23" i="11" s="1"/>
  <c r="C13" i="11"/>
  <c r="H19" i="10"/>
  <c r="H18" i="10"/>
  <c r="H17" i="10"/>
  <c r="H16" i="10"/>
  <c r="H21" i="10"/>
  <c r="H15" i="10"/>
  <c r="H20" i="10"/>
  <c r="H14" i="10"/>
  <c r="C17" i="10"/>
  <c r="C22" i="10"/>
  <c r="D22" i="10" s="1"/>
  <c r="C16" i="10"/>
  <c r="C27" i="10"/>
  <c r="D27" i="10" s="1"/>
  <c r="C21" i="10"/>
  <c r="D21" i="10" s="1"/>
  <c r="C15" i="10"/>
  <c r="C26" i="10"/>
  <c r="D26" i="10" s="1"/>
  <c r="C20" i="10"/>
  <c r="D20" i="10" s="1"/>
  <c r="C14" i="10"/>
  <c r="C24" i="10"/>
  <c r="D24" i="10" s="1"/>
  <c r="C25" i="10"/>
  <c r="D25" i="10" s="1"/>
  <c r="C18" i="10"/>
  <c r="C19" i="10"/>
  <c r="D19" i="10" s="1"/>
  <c r="C23" i="10"/>
  <c r="D23" i="10" s="1"/>
  <c r="C13" i="10"/>
  <c r="H19" i="9"/>
  <c r="H18" i="9"/>
  <c r="H20" i="9"/>
  <c r="H17" i="9"/>
  <c r="H14" i="9"/>
  <c r="H16" i="9"/>
  <c r="H21" i="9"/>
  <c r="H15" i="9"/>
  <c r="C22" i="9"/>
  <c r="D22" i="9" s="1"/>
  <c r="C16" i="9"/>
  <c r="C26" i="9"/>
  <c r="D26" i="9" s="1"/>
  <c r="C20" i="9"/>
  <c r="D20" i="9" s="1"/>
  <c r="C14" i="9"/>
  <c r="C27" i="9"/>
  <c r="D27" i="9" s="1"/>
  <c r="C15" i="9"/>
  <c r="C23" i="9"/>
  <c r="D23" i="9" s="1"/>
  <c r="C24" i="9"/>
  <c r="D24" i="9" s="1"/>
  <c r="C25" i="9"/>
  <c r="D25" i="9" s="1"/>
  <c r="C18" i="9"/>
  <c r="C19" i="9"/>
  <c r="D19" i="9" s="1"/>
  <c r="C17" i="9"/>
  <c r="C21" i="9"/>
  <c r="D21" i="9" s="1"/>
  <c r="C13" i="9"/>
  <c r="H19" i="7"/>
  <c r="H18" i="7"/>
  <c r="H17" i="7"/>
  <c r="H16" i="7"/>
  <c r="H21" i="7"/>
  <c r="H15" i="7"/>
  <c r="H20" i="7"/>
  <c r="H14" i="7"/>
  <c r="C27" i="7"/>
  <c r="D27" i="7" s="1"/>
  <c r="C21" i="7"/>
  <c r="D21" i="7" s="1"/>
  <c r="C15" i="7"/>
  <c r="C26" i="7"/>
  <c r="D26" i="7" s="1"/>
  <c r="C20" i="7"/>
  <c r="D20" i="7" s="1"/>
  <c r="C22" i="7"/>
  <c r="D22" i="7" s="1"/>
  <c r="C14" i="7"/>
  <c r="C16" i="7"/>
  <c r="C24" i="7"/>
  <c r="D24" i="7" s="1"/>
  <c r="C25" i="7"/>
  <c r="D25" i="7" s="1"/>
  <c r="C18" i="7"/>
  <c r="C19" i="7"/>
  <c r="D19" i="7" s="1"/>
  <c r="C23" i="7"/>
  <c r="D23" i="7" s="1"/>
  <c r="C17" i="7"/>
  <c r="C13" i="7"/>
  <c r="H19" i="6"/>
  <c r="H18" i="6"/>
  <c r="H17" i="6"/>
  <c r="H16" i="6"/>
  <c r="H21" i="6"/>
  <c r="H15" i="6"/>
  <c r="H20" i="6"/>
  <c r="H14" i="6"/>
  <c r="C17" i="6"/>
  <c r="C22" i="6"/>
  <c r="D22" i="6" s="1"/>
  <c r="C27" i="6"/>
  <c r="D27" i="6" s="1"/>
  <c r="C21" i="6"/>
  <c r="D21" i="6" s="1"/>
  <c r="C15" i="6"/>
  <c r="C26" i="6"/>
  <c r="D26" i="6" s="1"/>
  <c r="C20" i="6"/>
  <c r="D20" i="6" s="1"/>
  <c r="C14" i="6"/>
  <c r="C24" i="6"/>
  <c r="D24" i="6" s="1"/>
  <c r="C25" i="6"/>
  <c r="D25" i="6" s="1"/>
  <c r="C16" i="6"/>
  <c r="C18" i="6"/>
  <c r="C19" i="6"/>
  <c r="D19" i="6" s="1"/>
  <c r="C23" i="6"/>
  <c r="D23" i="6" s="1"/>
  <c r="C13" i="6"/>
  <c r="H19" i="5"/>
  <c r="H18" i="5"/>
  <c r="H17" i="5"/>
  <c r="H16" i="5"/>
  <c r="H21" i="5"/>
  <c r="H15" i="5"/>
  <c r="H20" i="5"/>
  <c r="H14" i="5"/>
  <c r="C22" i="5"/>
  <c r="D22" i="5" s="1"/>
  <c r="C16" i="5"/>
  <c r="C24" i="5"/>
  <c r="D24" i="5" s="1"/>
  <c r="C27" i="5"/>
  <c r="D27" i="5" s="1"/>
  <c r="C21" i="5"/>
  <c r="D21" i="5" s="1"/>
  <c r="C15" i="5"/>
  <c r="C26" i="5"/>
  <c r="D26" i="5" s="1"/>
  <c r="C20" i="5"/>
  <c r="D20" i="5" s="1"/>
  <c r="C14" i="5"/>
  <c r="C18" i="5"/>
  <c r="C25" i="5"/>
  <c r="D25" i="5" s="1"/>
  <c r="C23" i="5"/>
  <c r="D23" i="5" s="1"/>
  <c r="C19" i="5"/>
  <c r="D19" i="5" s="1"/>
  <c r="C17" i="5"/>
  <c r="C13" i="5"/>
  <c r="H19" i="4"/>
  <c r="H18" i="4"/>
  <c r="H17" i="4"/>
  <c r="H16" i="4"/>
  <c r="H21" i="4"/>
  <c r="H15" i="4"/>
  <c r="H20" i="4"/>
  <c r="H14" i="4"/>
  <c r="C22" i="4"/>
  <c r="D22" i="4" s="1"/>
  <c r="C17" i="4"/>
  <c r="C16" i="4"/>
  <c r="C27" i="4"/>
  <c r="D27" i="4" s="1"/>
  <c r="C21" i="4"/>
  <c r="D21" i="4" s="1"/>
  <c r="C15" i="4"/>
  <c r="C26" i="4"/>
  <c r="D26" i="4" s="1"/>
  <c r="C20" i="4"/>
  <c r="D20" i="4" s="1"/>
  <c r="C14" i="4"/>
  <c r="C24" i="4"/>
  <c r="D24" i="4" s="1"/>
  <c r="C25" i="4"/>
  <c r="D25" i="4" s="1"/>
  <c r="C19" i="4"/>
  <c r="D19" i="4" s="1"/>
  <c r="C18" i="4"/>
  <c r="C23" i="4"/>
  <c r="D23" i="4" s="1"/>
  <c r="C13" i="4"/>
  <c r="H19" i="8"/>
  <c r="H18" i="8"/>
  <c r="H17" i="8"/>
  <c r="H16" i="8"/>
  <c r="H21" i="8"/>
  <c r="H15" i="8"/>
  <c r="H20" i="8"/>
  <c r="H14" i="8"/>
  <c r="H13" i="8"/>
  <c r="C14" i="8"/>
  <c r="C20" i="8"/>
  <c r="D20" i="8" s="1"/>
  <c r="C26" i="8"/>
  <c r="D26" i="8" s="1"/>
  <c r="C15" i="8"/>
  <c r="C21" i="8"/>
  <c r="D21" i="8" s="1"/>
  <c r="C27" i="8"/>
  <c r="D27" i="8" s="1"/>
  <c r="C16" i="8"/>
  <c r="C22" i="8"/>
  <c r="D22" i="8" s="1"/>
  <c r="C17" i="8"/>
  <c r="C13" i="8"/>
  <c r="C23" i="8"/>
  <c r="D23" i="8" s="1"/>
  <c r="C19" i="8"/>
  <c r="D19" i="8" s="1"/>
  <c r="C18" i="8"/>
  <c r="C25" i="8"/>
  <c r="D25" i="8" s="1"/>
  <c r="C24" i="8"/>
  <c r="D24" i="8" s="1"/>
  <c r="B9" i="14"/>
  <c r="B9" i="13"/>
  <c r="B9" i="12"/>
  <c r="B9" i="11"/>
  <c r="B9" i="10"/>
  <c r="B9" i="9"/>
  <c r="B9" i="8"/>
  <c r="B9" i="7"/>
  <c r="B9" i="6"/>
  <c r="B9" i="5"/>
  <c r="B9" i="4"/>
  <c r="I22" i="1"/>
  <c r="I23" i="1"/>
  <c r="I24" i="1"/>
  <c r="I25" i="1"/>
  <c r="I26" i="1"/>
  <c r="I27" i="1"/>
  <c r="A2" i="1" a="1"/>
  <c r="A2" i="1" s="1"/>
  <c r="H13" i="1" a="1"/>
  <c r="H13" i="1" l="1"/>
  <c r="Q16" i="1"/>
  <c r="Q17" i="1"/>
  <c r="Q14" i="1"/>
  <c r="Q15" i="1"/>
  <c r="Q13" i="1"/>
  <c r="L18" i="1"/>
  <c r="L14" i="1"/>
  <c r="L17" i="1"/>
  <c r="L15" i="1"/>
  <c r="L16" i="1"/>
  <c r="L13" i="1"/>
  <c r="H16" i="1" a="1"/>
  <c r="H20" i="1" a="1"/>
  <c r="H18" i="1" a="1"/>
  <c r="H17" i="1" a="1"/>
  <c r="H21" i="1" a="1"/>
  <c r="H14" i="1" a="1"/>
  <c r="H15" i="1" a="1"/>
  <c r="H19" i="1" a="1"/>
  <c r="C13" i="1" a="1"/>
  <c r="C23" i="1" a="1"/>
  <c r="C19" i="1" a="1"/>
  <c r="C18" i="1" a="1"/>
  <c r="C25" i="1" a="1"/>
  <c r="C24" i="1" a="1"/>
  <c r="C17" i="1" a="1"/>
  <c r="C14" i="1" a="1"/>
  <c r="C20" i="1" a="1"/>
  <c r="C21" i="1" a="1"/>
  <c r="C27" i="1" a="1"/>
  <c r="C26" i="1" a="1"/>
  <c r="C22" i="1" a="1"/>
  <c r="C15" i="1" a="1"/>
  <c r="C16" i="1" a="1"/>
  <c r="H19" i="1" l="1"/>
  <c r="H15" i="1"/>
  <c r="H14" i="1"/>
  <c r="H21" i="1"/>
  <c r="H17" i="1"/>
  <c r="H18" i="1"/>
  <c r="H20" i="1"/>
  <c r="H16" i="1"/>
  <c r="C16" i="1"/>
  <c r="C15" i="1"/>
  <c r="C22" i="1"/>
  <c r="D22" i="1" s="1"/>
  <c r="C26" i="1"/>
  <c r="D26" i="1" s="1"/>
  <c r="C27" i="1"/>
  <c r="C21" i="1"/>
  <c r="D21" i="1" s="1"/>
  <c r="C20" i="1"/>
  <c r="D20" i="1" s="1"/>
  <c r="C14" i="1"/>
  <c r="C17" i="1"/>
  <c r="C24" i="1"/>
  <c r="D24" i="1" s="1"/>
  <c r="C25" i="1"/>
  <c r="D25" i="1" s="1"/>
  <c r="C18" i="1"/>
  <c r="C19" i="1"/>
  <c r="D19" i="1" s="1"/>
  <c r="C23" i="1"/>
  <c r="D23" i="1" s="1"/>
  <c r="C13" i="1"/>
  <c r="B9" i="1"/>
  <c r="D27" i="1" l="1"/>
  <c r="I21" i="14" l="1"/>
  <c r="I15" i="8"/>
  <c r="D15" i="5"/>
  <c r="I15" i="10"/>
  <c r="D18" i="14"/>
  <c r="I17" i="5"/>
  <c r="I18" i="8"/>
  <c r="D14" i="12"/>
  <c r="I19" i="5"/>
  <c r="D17" i="1"/>
  <c r="I18" i="5"/>
  <c r="D16" i="9"/>
  <c r="D15" i="12"/>
  <c r="I18" i="7"/>
  <c r="I19" i="13"/>
  <c r="D16" i="11"/>
  <c r="I14" i="8"/>
  <c r="D18" i="5"/>
  <c r="I16" i="5"/>
  <c r="D15" i="6"/>
  <c r="D15" i="9"/>
  <c r="D18" i="12"/>
  <c r="D17" i="6"/>
  <c r="D16" i="1"/>
  <c r="D16" i="6"/>
  <c r="I14" i="9"/>
  <c r="I21" i="12"/>
  <c r="D15" i="1"/>
  <c r="D17" i="5"/>
  <c r="D14" i="14"/>
  <c r="I20" i="8"/>
  <c r="I19" i="14"/>
  <c r="I14" i="12"/>
  <c r="I18" i="6"/>
  <c r="I15" i="1"/>
  <c r="I18" i="9"/>
  <c r="I15" i="12"/>
  <c r="I16" i="13"/>
  <c r="I17" i="1"/>
  <c r="I19" i="1"/>
  <c r="I19" i="8"/>
  <c r="I15" i="14"/>
  <c r="I21" i="6"/>
  <c r="D17" i="12"/>
  <c r="D18" i="9"/>
  <c r="I21" i="9"/>
  <c r="D18" i="1"/>
  <c r="I20" i="6"/>
  <c r="I17" i="9"/>
  <c r="I18" i="12"/>
  <c r="D16" i="7"/>
  <c r="I14" i="1"/>
  <c r="I17" i="6"/>
  <c r="D16" i="10"/>
  <c r="I19" i="12"/>
  <c r="I16" i="1"/>
  <c r="D16" i="5"/>
  <c r="I20" i="14"/>
  <c r="D16" i="4"/>
  <c r="I17" i="10"/>
  <c r="I17" i="8"/>
  <c r="D14" i="9"/>
  <c r="D17" i="10"/>
  <c r="D18" i="6"/>
  <c r="I16" i="9"/>
  <c r="I17" i="12"/>
  <c r="I18" i="1"/>
  <c r="I15" i="9"/>
  <c r="I21" i="1"/>
  <c r="I21" i="7"/>
  <c r="I21" i="11"/>
  <c r="D14" i="13"/>
  <c r="I17" i="7"/>
  <c r="I21" i="4"/>
  <c r="D15" i="7"/>
  <c r="D15" i="13"/>
  <c r="I15" i="11"/>
  <c r="D17" i="8"/>
  <c r="I17" i="4"/>
  <c r="I14" i="5"/>
  <c r="I16" i="8"/>
  <c r="D14" i="6"/>
  <c r="I14" i="10"/>
  <c r="D16" i="12"/>
  <c r="I15" i="6"/>
  <c r="I20" i="9"/>
  <c r="D15" i="4"/>
  <c r="I14" i="11"/>
  <c r="I20" i="1"/>
  <c r="D14" i="7"/>
  <c r="D15" i="10"/>
  <c r="D18" i="13"/>
  <c r="D17" i="9"/>
  <c r="D14" i="4"/>
  <c r="I16" i="7"/>
  <c r="I17" i="11"/>
  <c r="I14" i="13"/>
  <c r="D18" i="11"/>
  <c r="I14" i="6"/>
  <c r="D14" i="5"/>
  <c r="I20" i="5"/>
  <c r="I19" i="6"/>
  <c r="D17" i="13"/>
  <c r="I16" i="4"/>
  <c r="I20" i="12"/>
  <c r="D18" i="7"/>
  <c r="I16" i="11"/>
  <c r="I19" i="9"/>
  <c r="D18" i="4"/>
  <c r="I20" i="7"/>
  <c r="I18" i="13"/>
  <c r="I14" i="14"/>
  <c r="I16" i="10"/>
  <c r="D17" i="11"/>
  <c r="D16" i="8"/>
  <c r="I19" i="10"/>
  <c r="D15" i="8"/>
  <c r="I16" i="6"/>
  <c r="I16" i="12"/>
  <c r="D14" i="10"/>
  <c r="D16" i="13"/>
  <c r="D18" i="10"/>
  <c r="I21" i="13"/>
  <c r="I20" i="4"/>
  <c r="I15" i="13"/>
  <c r="D17" i="4"/>
  <c r="I15" i="7"/>
  <c r="I20" i="11"/>
  <c r="I17" i="13"/>
  <c r="I15" i="4"/>
  <c r="I21" i="8"/>
  <c r="I20" i="10"/>
  <c r="D16" i="14"/>
  <c r="D17" i="7"/>
  <c r="I21" i="5"/>
  <c r="D17" i="14"/>
  <c r="I14" i="4"/>
  <c r="I19" i="7"/>
  <c r="I18" i="10"/>
  <c r="D15" i="14"/>
  <c r="I18" i="11"/>
  <c r="I19" i="4"/>
  <c r="D14" i="8"/>
  <c r="I21" i="10"/>
  <c r="D14" i="1"/>
  <c r="I14" i="7"/>
  <c r="I19" i="11"/>
  <c r="I20" i="13"/>
  <c r="I15" i="5"/>
  <c r="I18" i="14"/>
  <c r="I18" i="4"/>
  <c r="I16" i="14"/>
  <c r="D15" i="11"/>
  <c r="D18" i="8"/>
  <c r="D14" i="11"/>
  <c r="I17" i="14"/>
  <c r="D13" i="14" l="1"/>
  <c r="D28" i="14" s="1"/>
  <c r="C28" i="14"/>
  <c r="I13" i="12"/>
  <c r="I28" i="12" s="1"/>
  <c r="H28" i="12"/>
  <c r="I13" i="5"/>
  <c r="I28" i="5" s="1"/>
  <c r="H28" i="5"/>
  <c r="H28" i="13"/>
  <c r="I13" i="13"/>
  <c r="I28" i="13" s="1"/>
  <c r="H28" i="14"/>
  <c r="I13" i="14"/>
  <c r="I28" i="14" s="1"/>
  <c r="C28" i="7"/>
  <c r="D13" i="7"/>
  <c r="D28" i="7" s="1"/>
  <c r="H28" i="10"/>
  <c r="I13" i="10"/>
  <c r="I28" i="10" s="1"/>
  <c r="C28" i="1"/>
  <c r="D13" i="1"/>
  <c r="D28" i="1" s="1"/>
  <c r="I13" i="7"/>
  <c r="I28" i="7" s="1"/>
  <c r="H28" i="7"/>
  <c r="D13" i="9"/>
  <c r="D28" i="9" s="1"/>
  <c r="C28" i="9"/>
  <c r="C28" i="12"/>
  <c r="D13" i="12"/>
  <c r="D28" i="12" s="1"/>
  <c r="H28" i="4"/>
  <c r="I13" i="4"/>
  <c r="I28" i="4" s="1"/>
  <c r="D13" i="11"/>
  <c r="D28" i="11" s="1"/>
  <c r="C28" i="11"/>
  <c r="H28" i="6"/>
  <c r="I13" i="6"/>
  <c r="I28" i="6" s="1"/>
  <c r="C28" i="5"/>
  <c r="D13" i="5"/>
  <c r="D28" i="5" s="1"/>
  <c r="D13" i="8"/>
  <c r="D28" i="8" s="1"/>
  <c r="C28" i="8"/>
  <c r="C28" i="10"/>
  <c r="D13" i="10"/>
  <c r="D28" i="10" s="1"/>
  <c r="I13" i="1"/>
  <c r="I28" i="1" s="1"/>
  <c r="H28" i="1"/>
  <c r="H28" i="8"/>
  <c r="I13" i="8"/>
  <c r="I28" i="8" s="1"/>
  <c r="D13" i="6"/>
  <c r="D28" i="6" s="1"/>
  <c r="C28" i="6"/>
  <c r="D13" i="13"/>
  <c r="D28" i="13" s="1"/>
  <c r="C28" i="13"/>
  <c r="H28" i="9"/>
  <c r="I13" i="9"/>
  <c r="I28" i="9" s="1"/>
  <c r="C28" i="4"/>
  <c r="D13" i="4"/>
  <c r="D28" i="4" s="1"/>
  <c r="I13" i="11"/>
  <c r="I28" i="11" s="1"/>
  <c r="H28" i="11"/>
  <c r="D6" i="14" a="1"/>
  <c r="D5" i="14" a="1"/>
  <c r="C5" i="14" a="1"/>
  <c r="C6" i="14" a="1"/>
  <c r="D6" i="13" a="1"/>
  <c r="D5" i="13" a="1"/>
  <c r="C6" i="13" a="1"/>
  <c r="C5" i="13" a="1"/>
  <c r="D6" i="12" a="1"/>
  <c r="D5" i="12" a="1"/>
  <c r="C6" i="12" a="1"/>
  <c r="C5" i="12" a="1"/>
  <c r="D6" i="11" a="1"/>
  <c r="D5" i="11" a="1"/>
  <c r="C6" i="11" a="1"/>
  <c r="C5" i="11" a="1"/>
  <c r="D6" i="10" a="1"/>
  <c r="D5" i="10" a="1"/>
  <c r="C6" i="10" a="1"/>
  <c r="C5" i="10" a="1"/>
  <c r="D6" i="9" a="1"/>
  <c r="D5" i="9" a="1"/>
  <c r="C6" i="9" a="1"/>
  <c r="C5" i="9" a="1"/>
  <c r="D6" i="8" a="1"/>
  <c r="D5" i="8" a="1"/>
  <c r="C6" i="8" a="1"/>
  <c r="C5" i="8" a="1"/>
  <c r="D6" i="7" a="1"/>
  <c r="D5" i="7" a="1"/>
  <c r="C6" i="7" a="1"/>
  <c r="C5" i="7" a="1"/>
  <c r="D6" i="5" a="1"/>
  <c r="D5" i="5" a="1"/>
  <c r="C6" i="5" a="1"/>
  <c r="C5" i="5" a="1"/>
  <c r="D6" i="4" a="1"/>
  <c r="D5" i="4" a="1"/>
  <c r="C6" i="4" a="1"/>
  <c r="C5" i="4" a="1"/>
  <c r="D6" i="1" a="1"/>
  <c r="D5" i="1" a="1"/>
  <c r="C6" i="1" a="1"/>
  <c r="C5" i="1" a="1"/>
  <c r="D6" i="6" a="1"/>
  <c r="D5" i="6" a="1"/>
  <c r="C6" i="6" a="1"/>
  <c r="C5" i="6" a="1"/>
  <c r="D6" i="14" l="1"/>
  <c r="D5" i="14"/>
  <c r="D9" i="14" s="1"/>
  <c r="C5" i="14"/>
  <c r="C6" i="14"/>
  <c r="C9" i="14" s="1"/>
  <c r="D6" i="13"/>
  <c r="D5" i="13"/>
  <c r="C6" i="13"/>
  <c r="C5" i="13"/>
  <c r="D6" i="12"/>
  <c r="D5" i="12"/>
  <c r="C6" i="12"/>
  <c r="C5" i="12"/>
  <c r="D6" i="11"/>
  <c r="D5" i="11"/>
  <c r="C6" i="11"/>
  <c r="C5" i="11"/>
  <c r="D6" i="10"/>
  <c r="D5" i="10"/>
  <c r="C6" i="10"/>
  <c r="C5" i="10"/>
  <c r="D6" i="9"/>
  <c r="D5" i="9"/>
  <c r="C6" i="9"/>
  <c r="C5" i="9"/>
  <c r="D6" i="8"/>
  <c r="D5" i="8"/>
  <c r="C6" i="8"/>
  <c r="C5" i="8"/>
  <c r="D6" i="7"/>
  <c r="D5" i="7"/>
  <c r="C6" i="7"/>
  <c r="C5" i="7"/>
  <c r="D6" i="5"/>
  <c r="D5" i="5"/>
  <c r="C6" i="5"/>
  <c r="C5" i="5"/>
  <c r="D6" i="4"/>
  <c r="D5" i="4"/>
  <c r="C6" i="4"/>
  <c r="C5" i="4"/>
  <c r="D6" i="1"/>
  <c r="D5" i="1"/>
  <c r="C6" i="1"/>
  <c r="C5" i="1"/>
  <c r="D6" i="6"/>
  <c r="D5" i="6"/>
  <c r="C6" i="6"/>
  <c r="C5" i="6"/>
  <c r="D9" i="13" l="1"/>
  <c r="C9" i="13"/>
  <c r="D9" i="12"/>
  <c r="C9" i="12"/>
  <c r="D9" i="11"/>
  <c r="C9" i="11"/>
  <c r="D9" i="10"/>
  <c r="D9" i="9"/>
  <c r="C9" i="10"/>
  <c r="C9" i="9"/>
  <c r="C9" i="8"/>
  <c r="D9" i="8"/>
  <c r="D9" i="7"/>
  <c r="D9" i="5"/>
  <c r="C9" i="7"/>
  <c r="C9" i="5"/>
  <c r="D9" i="4"/>
  <c r="C9" i="4"/>
  <c r="D9" i="1"/>
  <c r="C9" i="1"/>
  <c r="D9" i="6"/>
  <c r="C9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<sst xmlns="http://schemas.openxmlformats.org/spreadsheetml/2006/main" count="804" uniqueCount="46">
  <si>
    <t>Rent</t>
  </si>
  <si>
    <t>Month</t>
  </si>
  <si>
    <t>Planned</t>
  </si>
  <si>
    <t>Actual</t>
  </si>
  <si>
    <t>Left</t>
  </si>
  <si>
    <t>Expenses</t>
  </si>
  <si>
    <t>Savings</t>
  </si>
  <si>
    <t>Balance</t>
  </si>
  <si>
    <t>Allowance</t>
  </si>
  <si>
    <t>Financial</t>
  </si>
  <si>
    <t>Gift</t>
  </si>
  <si>
    <t>Other incoms</t>
  </si>
  <si>
    <t>Salary</t>
  </si>
  <si>
    <t>Scholarship</t>
  </si>
  <si>
    <t>Clothing</t>
  </si>
  <si>
    <t>Entertainment</t>
  </si>
  <si>
    <t>Groceries</t>
  </si>
  <si>
    <t>Health&amp;Beauty</t>
  </si>
  <si>
    <t>Multimedia</t>
  </si>
  <si>
    <t>Other expences</t>
  </si>
  <si>
    <t>Studies</t>
  </si>
  <si>
    <t>Transportation</t>
  </si>
  <si>
    <t>Accomodation</t>
  </si>
  <si>
    <t>Electricity</t>
  </si>
  <si>
    <t>Gas</t>
  </si>
  <si>
    <t>Water</t>
  </si>
  <si>
    <t>Waste</t>
  </si>
  <si>
    <t>Internet</t>
  </si>
  <si>
    <t>Source</t>
  </si>
  <si>
    <t>Category</t>
  </si>
  <si>
    <t>Bill</t>
  </si>
  <si>
    <t>Bills</t>
  </si>
  <si>
    <t>Service</t>
  </si>
  <si>
    <t>Subscriptions</t>
  </si>
  <si>
    <t>Netflix</t>
  </si>
  <si>
    <t>Spotify</t>
  </si>
  <si>
    <t>Aim</t>
  </si>
  <si>
    <t>Rainy day</t>
  </si>
  <si>
    <t>Due</t>
  </si>
  <si>
    <t>Bookbeat</t>
  </si>
  <si>
    <t>ChatGPT</t>
  </si>
  <si>
    <t>Duolingo</t>
  </si>
  <si>
    <t>Laptop</t>
  </si>
  <si>
    <t>Summer holiday</t>
  </si>
  <si>
    <t>Total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</si>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</sst>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zł&quot;_-;\-* #,##0.00\ &quot;zł&quot;_-;_-* &quot;-&quot;??\ &quot;zł&quot;_-;_-@_-"/>
    <numFmt numFmtId="164" formatCode="#,##0.00\ &quot;zł&quot;"/>
  </numFmts>
  <fonts count="4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sz val="11"/>
      <color theme="0"/>
      <name val="Ebrima"/>
      <charset val="238"/>
    </font>
    <font>
      <sz val="11"/>
      <color theme="1"/>
      <name val="Ebrima"/>
      <charset val="238"/>
    </font>
  </fonts>
  <fills count="1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9">
    <xf numFmtId="0" fontId="0" fillId="0" borderId="0" xfId="0"/>
    <xf numFmtId="164" fontId="0" fillId="0" borderId="0" xfId="0" applyNumberFormat="1"/>
    <xf numFmtId="0" fontId="0" fillId="9" borderId="1" xfId="0" applyFill="1" applyBorder="1"/>
    <xf numFmtId="0" fontId="3" fillId="0" borderId="0" xfId="0" applyFont="1"/>
    <xf numFmtId="0" fontId="3" fillId="4" borderId="1" xfId="0" applyFont="1" applyFill="1" applyBorder="1"/>
    <xf numFmtId="0" fontId="3" fillId="2" borderId="1" xfId="0" applyFont="1" applyFill="1" applyBorder="1"/>
    <xf numFmtId="0" fontId="3" fillId="9" borderId="1" xfId="0" applyFont="1" applyFill="1" applyBorder="1"/>
    <xf numFmtId="44" fontId="3" fillId="16" borderId="1" xfId="1" applyFont="1" applyFill="1" applyBorder="1"/>
    <xf numFmtId="0" fontId="2" fillId="6" borderId="1" xfId="0" applyFont="1" applyFill="1" applyBorder="1"/>
    <xf numFmtId="0" fontId="2" fillId="0" borderId="0" xfId="0" applyFont="1"/>
    <xf numFmtId="0" fontId="2" fillId="10" borderId="1" xfId="0" applyFont="1" applyFill="1" applyBorder="1"/>
    <xf numFmtId="44" fontId="2" fillId="10" borderId="1" xfId="1" applyFont="1" applyFill="1" applyBorder="1"/>
    <xf numFmtId="0" fontId="2" fillId="12" borderId="1" xfId="0" applyFont="1" applyFill="1" applyBorder="1"/>
    <xf numFmtId="0" fontId="2" fillId="14" borderId="1" xfId="0" applyFont="1" applyFill="1" applyBorder="1"/>
    <xf numFmtId="44" fontId="3" fillId="9" borderId="1" xfId="1" applyFont="1" applyFill="1" applyBorder="1"/>
    <xf numFmtId="44" fontId="3" fillId="8" borderId="1" xfId="1" applyFont="1" applyFill="1" applyBorder="1"/>
    <xf numFmtId="44" fontId="3" fillId="2" borderId="1" xfId="1" applyFont="1" applyFill="1" applyBorder="1"/>
    <xf numFmtId="0" fontId="0" fillId="2" borderId="0" xfId="0" applyFill="1"/>
    <xf numFmtId="0" fontId="0" fillId="4" borderId="1" xfId="0" applyFill="1" applyBorder="1"/>
    <xf numFmtId="0" fontId="0" fillId="4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3" fillId="4" borderId="0" xfId="0" applyFont="1" applyFill="1"/>
    <xf numFmtId="14" fontId="0" fillId="9" borderId="1" xfId="0" applyNumberFormat="1" applyFill="1" applyBorder="1"/>
    <xf numFmtId="44" fontId="0" fillId="2" borderId="1" xfId="0" applyNumberFormat="1" applyFill="1" applyBorder="1"/>
    <xf numFmtId="0" fontId="0" fillId="4" borderId="3" xfId="0" applyFill="1" applyBorder="1"/>
    <xf numFmtId="44" fontId="0" fillId="2" borderId="3" xfId="0" applyNumberFormat="1" applyFill="1" applyBorder="1"/>
    <xf numFmtId="44" fontId="0" fillId="0" borderId="0" xfId="0" applyNumberFormat="1"/>
    <xf numFmtId="0" fontId="3" fillId="18" borderId="1" xfId="0" applyFont="1" applyFill="1" applyBorder="1"/>
    <xf numFmtId="14" fontId="0" fillId="18" borderId="1" xfId="0" applyNumberFormat="1" applyFill="1" applyBorder="1"/>
    <xf numFmtId="44" fontId="3" fillId="18" borderId="1" xfId="1" applyFont="1" applyFill="1" applyBorder="1"/>
    <xf numFmtId="0" fontId="3" fillId="2" borderId="5" xfId="0" applyFont="1" applyFill="1" applyBorder="1"/>
    <xf numFmtId="44" fontId="3" fillId="2" borderId="5" xfId="1" applyFont="1" applyFill="1" applyBorder="1"/>
    <xf numFmtId="0" fontId="2" fillId="3" borderId="2" xfId="0" applyFont="1" applyFill="1" applyBorder="1"/>
    <xf numFmtId="44" fontId="2" fillId="3" borderId="2" xfId="0" applyNumberFormat="1" applyFont="1" applyFill="1" applyBorder="1"/>
    <xf numFmtId="0" fontId="3" fillId="8" borderId="6" xfId="0" applyFont="1" applyFill="1" applyBorder="1"/>
    <xf numFmtId="0" fontId="3" fillId="8" borderId="7" xfId="0" applyFont="1" applyFill="1" applyBorder="1"/>
    <xf numFmtId="44" fontId="3" fillId="8" borderId="3" xfId="1" applyFont="1" applyFill="1" applyBorder="1"/>
    <xf numFmtId="0" fontId="3" fillId="7" borderId="8" xfId="0" applyFont="1" applyFill="1" applyBorder="1"/>
    <xf numFmtId="0" fontId="3" fillId="7" borderId="9" xfId="0" applyFont="1" applyFill="1" applyBorder="1"/>
    <xf numFmtId="0" fontId="3" fillId="7" borderId="10" xfId="0" applyFont="1" applyFill="1" applyBorder="1"/>
    <xf numFmtId="0" fontId="3" fillId="8" borderId="11" xfId="0" applyFont="1" applyFill="1" applyBorder="1"/>
    <xf numFmtId="44" fontId="3" fillId="8" borderId="5" xfId="1" applyFont="1" applyFill="1" applyBorder="1"/>
    <xf numFmtId="44" fontId="3" fillId="8" borderId="12" xfId="1" applyFont="1" applyFill="1" applyBorder="1"/>
    <xf numFmtId="0" fontId="0" fillId="9" borderId="6" xfId="0" applyFill="1" applyBorder="1"/>
    <xf numFmtId="0" fontId="3" fillId="9" borderId="6" xfId="0" applyFont="1" applyFill="1" applyBorder="1"/>
    <xf numFmtId="44" fontId="3" fillId="9" borderId="3" xfId="1" applyFont="1" applyFill="1" applyBorder="1"/>
    <xf numFmtId="0" fontId="3" fillId="11" borderId="8" xfId="0" applyFont="1" applyFill="1" applyBorder="1"/>
    <xf numFmtId="0" fontId="3" fillId="11" borderId="9" xfId="0" applyFont="1" applyFill="1" applyBorder="1" applyAlignment="1">
      <alignment horizontal="center"/>
    </xf>
    <xf numFmtId="0" fontId="3" fillId="11" borderId="9" xfId="0" applyFont="1" applyFill="1" applyBorder="1"/>
    <xf numFmtId="0" fontId="3" fillId="11" borderId="10" xfId="0" applyFont="1" applyFill="1" applyBorder="1"/>
    <xf numFmtId="0" fontId="3" fillId="9" borderId="11" xfId="0" applyFont="1" applyFill="1" applyBorder="1"/>
    <xf numFmtId="0" fontId="3" fillId="9" borderId="5" xfId="0" applyFont="1" applyFill="1" applyBorder="1"/>
    <xf numFmtId="44" fontId="3" fillId="9" borderId="5" xfId="1" applyFont="1" applyFill="1" applyBorder="1"/>
    <xf numFmtId="44" fontId="3" fillId="9" borderId="12" xfId="1" applyFont="1" applyFill="1" applyBorder="1"/>
    <xf numFmtId="0" fontId="3" fillId="18" borderId="6" xfId="0" applyFont="1" applyFill="1" applyBorder="1"/>
    <xf numFmtId="44" fontId="3" fillId="18" borderId="3" xfId="1" applyFont="1" applyFill="1" applyBorder="1"/>
    <xf numFmtId="0" fontId="3" fillId="13" borderId="8" xfId="0" applyFont="1" applyFill="1" applyBorder="1"/>
    <xf numFmtId="0" fontId="3" fillId="13" borderId="9" xfId="0" applyFont="1" applyFill="1" applyBorder="1" applyAlignment="1">
      <alignment horizontal="center"/>
    </xf>
    <xf numFmtId="0" fontId="3" fillId="13" borderId="9" xfId="0" applyFont="1" applyFill="1" applyBorder="1"/>
    <xf numFmtId="0" fontId="3" fillId="13" borderId="10" xfId="0" applyFont="1" applyFill="1" applyBorder="1"/>
    <xf numFmtId="0" fontId="3" fillId="18" borderId="11" xfId="0" applyFont="1" applyFill="1" applyBorder="1"/>
    <xf numFmtId="0" fontId="3" fillId="18" borderId="5" xfId="0" applyFont="1" applyFill="1" applyBorder="1"/>
    <xf numFmtId="44" fontId="3" fillId="18" borderId="5" xfId="1" applyFont="1" applyFill="1" applyBorder="1"/>
    <xf numFmtId="44" fontId="3" fillId="18" borderId="12" xfId="1" applyFont="1" applyFill="1" applyBorder="1"/>
    <xf numFmtId="0" fontId="3" fillId="16" borderId="6" xfId="0" applyFont="1" applyFill="1" applyBorder="1"/>
    <xf numFmtId="44" fontId="3" fillId="16" borderId="3" xfId="1" applyFont="1" applyFill="1" applyBorder="1"/>
    <xf numFmtId="0" fontId="3" fillId="15" borderId="8" xfId="0" applyFont="1" applyFill="1" applyBorder="1"/>
    <xf numFmtId="0" fontId="3" fillId="15" borderId="9" xfId="0" applyFont="1" applyFill="1" applyBorder="1"/>
    <xf numFmtId="0" fontId="3" fillId="15" borderId="10" xfId="0" applyFont="1" applyFill="1" applyBorder="1"/>
    <xf numFmtId="0" fontId="3" fillId="16" borderId="11" xfId="0" applyFont="1" applyFill="1" applyBorder="1"/>
    <xf numFmtId="44" fontId="3" fillId="16" borderId="5" xfId="1" applyFont="1" applyFill="1" applyBorder="1"/>
    <xf numFmtId="44" fontId="3" fillId="16" borderId="12" xfId="1" applyFont="1" applyFill="1" applyBorder="1"/>
    <xf numFmtId="44" fontId="2" fillId="12" borderId="1" xfId="1" applyFont="1" applyFill="1" applyBorder="1"/>
    <xf numFmtId="44" fontId="2" fillId="14" borderId="1" xfId="1" applyFont="1" applyFill="1" applyBorder="1"/>
    <xf numFmtId="44" fontId="2" fillId="14" borderId="5" xfId="1" applyFont="1" applyFill="1" applyBorder="1"/>
    <xf numFmtId="0" fontId="2" fillId="14" borderId="13" xfId="0" applyFont="1" applyFill="1" applyBorder="1" applyAlignment="1">
      <alignment horizontal="center"/>
    </xf>
    <xf numFmtId="0" fontId="2" fillId="1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44" fontId="2" fillId="6" borderId="1" xfId="0" applyNumberFormat="1" applyFont="1" applyFill="1" applyBorder="1"/>
  </cellXfs>
  <cellStyles count="2">
    <cellStyle name="Currency" xfId="1" builtinId="4"/>
    <cellStyle name="Normal" xfId="0" builtinId="0"/>
  </cellStyles>
  <dxfs count="7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4" formatCode="_-* #,##0.00\ &quot;zł&quot;_-;\-* #,##0.00\ &quot;zł&quot;_-;_-* &quot;-&quot;??\ &quot;zł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9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8" tint="-0.249977111117893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1" tint="0.249977111117893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9.9978637043366805E-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40404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numFmt numFmtId="34" formatCode="_-* #,##0.00\ &quot;zł&quot;_-;\-* #,##0.00\ &quot;zł&quot;_-;_-* &quot;-&quot;??\ &quot;zł&quot;_-;_-@_-"/>
      <fill>
        <patternFill patternType="solid">
          <fgColor indexed="64"/>
          <bgColor theme="5" tint="-0.49998474074526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E350E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5" tint="-0.24997711111789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Ebrima"/>
        <charset val="238"/>
        <scheme val="none"/>
      </font>
      <fill>
        <patternFill patternType="solid">
          <fgColor indexed="64"/>
          <bgColor theme="3" tint="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89999084444715716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153D64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3" tint="0.49998474074526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3C7D2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FFFFFF"/>
        <name val="Ebrima"/>
        <charset val="238"/>
        <scheme val="none"/>
      </font>
      <fill>
        <patternFill patternType="solid">
          <fgColor rgb="FF000000"/>
          <bgColor rgb="FF782170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Ebrima"/>
        <charset val="238"/>
        <scheme val="none"/>
      </font>
      <fill>
        <patternFill patternType="solid">
          <fgColor rgb="FF000000"/>
          <bgColor rgb="FFF2CEE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Ebrima"/>
        <charset val="238"/>
        <scheme val="none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Blank" pivot="0" count="1" xr9:uid="{3243B348-5329-402E-83CF-4E1872C8E6B1}">
      <tableStyleElement type="wholeTable" dxfId="7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D1-41A9-8B9E-96FF4A0A3E81}"/>
            </c:ext>
          </c:extLst>
        </c:ser>
        <c:ser>
          <c:idx val="1"/>
          <c:order val="1"/>
          <c:tx>
            <c:strRef>
              <c:f>'1'!$C$4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D1-41A9-8B9E-96FF4A0A3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AAD-4666-A1DA-1F00692DA58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AAD-4666-A1DA-1F00692DA58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3AAD-4666-A1DA-1F00692DA58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3AAD-4666-A1DA-1F00692DA58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AAD-4666-A1DA-1F00692DA58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AAD-4666-A1DA-1F00692DA584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AD-4666-A1DA-1F00692DA584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AAD-4666-A1DA-1F00692DA584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AAD-4666-A1DA-1F00692DA584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AD-4666-A1DA-1F00692DA584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AAD-4666-A1DA-1F00692DA584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AAD-4666-A1DA-1F00692DA5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'1'!$A$13:$A$26</c15:sqref>
                  </c15:fullRef>
                </c:ext>
              </c:extLst>
              <c:f>'1'!$A$13:$A$18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'1'!$B$13:$B$27</c15:sqref>
                  </c15:fullRef>
                </c:ext>
              </c:extLst>
              <c:f>'1'!$B$13:$B$18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3AAD-4666-A1DA-1F00692DA584}"/>
            </c:ext>
          </c:extLst>
        </c:ser>
        <c:ser>
          <c:idx val="1"/>
          <c:order val="1"/>
          <c:tx>
            <c:strRef>
              <c:f>'1'!$C$12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AAD-4666-A1DA-1F00692DA58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AAD-4666-A1DA-1F00692DA58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AAD-4666-A1DA-1F00692DA58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AAD-4666-A1DA-1F00692DA58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AAD-4666-A1DA-1F00692DA58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AAD-4666-A1DA-1F00692DA584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AAD-4666-A1DA-1F00692DA584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AAD-4666-A1DA-1F00692DA584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AD-4666-A1DA-1F00692DA584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AD-4666-A1DA-1F00692DA584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AAD-4666-A1DA-1F00692DA584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AAD-4666-A1DA-1F00692DA5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'1'!$A$13:$A$26</c15:sqref>
                  </c15:fullRef>
                </c:ext>
              </c:extLst>
              <c:f>'1'!$A$13:$A$18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'1'!$C$13:$C$27</c15:sqref>
                  </c15:fullRef>
                </c:ext>
              </c:extLst>
              <c:f>'1'!$C$13:$C$18</c:f>
              <c:numCache>
                <c:formatCode>_("zł"* #,##0.00_);_("zł"* \(#,##0.00\);_("zł"* "-"??_);_(@_)</c:formatCode>
                <c:ptCount val="6"/>
                <c:pt idx="0">
                  <c:v>250</c:v>
                </c:pt>
                <c:pt idx="1">
                  <c:v>105.5</c:v>
                </c:pt>
                <c:pt idx="2">
                  <c:v>0</c:v>
                </c:pt>
                <c:pt idx="3">
                  <c:v>800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3AAD-4666-A1DA-1F00692DA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7EC-4F25-B717-D41F20AD01B0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7EC-4F25-B717-D41F20AD01B0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EC-4F25-B717-D41F20AD01B0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EC-4F25-B717-D41F20AD01B0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7EC-4F25-B717-D41F20AD01B0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7EC-4F25-B717-D41F20AD01B0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7EC-4F25-B717-D41F20AD01B0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7EC-4F25-B717-D41F20AD01B0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7EC-4F25-B717-D41F20AD01B0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EC-4F25-B717-D41F20AD01B0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EC-4F25-B717-D41F20AD01B0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EC-4F25-B717-D41F20AD01B0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7EC-4F25-B717-D41F20AD01B0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EC-4F25-B717-D41F20AD01B0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EC-4F25-B717-D41F20AD01B0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EC-4F25-B717-D41F20AD01B0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EC-4F25-B717-D41F20AD01B0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7EC-4F25-B717-D41F20AD0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'1'!$F$13:$F$27</c15:sqref>
                  </c15:fullRef>
                </c:ext>
              </c:extLst>
              <c:f>'1'!$F$13:$F$21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'1'!$G$13:$G$27</c15:sqref>
                  </c15:fullRef>
                </c:ext>
              </c:extLst>
              <c:f>'1'!$G$13:$G$21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17EC-4F25-B717-D41F20AD01B0}"/>
            </c:ext>
          </c:extLst>
        </c:ser>
        <c:ser>
          <c:idx val="1"/>
          <c:order val="1"/>
          <c:tx>
            <c:strRef>
              <c:f>'1'!$H$12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EC-4F25-B717-D41F20AD01B0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EC-4F25-B717-D41F20AD01B0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7EC-4F25-B717-D41F20AD01B0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7EC-4F25-B717-D41F20AD01B0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7EC-4F25-B717-D41F20AD01B0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17EC-4F25-B717-D41F20AD01B0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17EC-4F25-B717-D41F20AD01B0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7EC-4F25-B717-D41F20AD01B0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7EC-4F25-B717-D41F20AD01B0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EC-4F25-B717-D41F20AD01B0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EC-4F25-B717-D41F20AD01B0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EC-4F25-B717-D41F20AD01B0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EC-4F25-B717-D41F20AD01B0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EC-4F25-B717-D41F20AD01B0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EC-4F25-B717-D41F20AD01B0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EC-4F25-B717-D41F20AD01B0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EC-4F25-B717-D41F20AD01B0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EC-4F25-B717-D41F20AD01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'1'!$F$13:$F$27</c15:sqref>
                  </c15:fullRef>
                </c:ext>
              </c:extLst>
              <c:f>'1'!$F$13:$F$21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'1'!$H$13:$H$27</c15:sqref>
                  </c15:fullRef>
                </c:ext>
              </c:extLst>
              <c:f>'1'!$H$13:$H$21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80</c:v>
                </c:pt>
                <c:pt idx="2">
                  <c:v>85</c:v>
                </c:pt>
                <c:pt idx="3">
                  <c:v>1715</c:v>
                </c:pt>
                <c:pt idx="4">
                  <c:v>100</c:v>
                </c:pt>
                <c:pt idx="5">
                  <c:v>150</c:v>
                </c:pt>
                <c:pt idx="6">
                  <c:v>500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17EC-4F25-B717-D41F20AD0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'2'!$B$5:$B$7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A0-4960-83E0-2716D4F9BAAB}"/>
            </c:ext>
          </c:extLst>
        </c:ser>
        <c:ser>
          <c:idx val="1"/>
          <c:order val="1"/>
          <c:tx>
            <c:strRef>
              <c:f>'2'!$C$4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'2'!$C$5:$C$7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A0-4960-83E0-2716D4F9BA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9E-4EFA-84CF-385BE45B9515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9E-4EFA-84CF-385BE45B9515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9E-4EFA-84CF-385BE45B9515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9E-4EFA-84CF-385BE45B9515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9E-4EFA-84CF-385BE45B9515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9E-4EFA-84CF-385BE45B9515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9E-4EFA-84CF-385BE45B9515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9E-4EFA-84CF-385BE45B9515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49E-4EFA-84CF-385BE45B9515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9E-4EFA-84CF-385BE45B9515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9E-4EFA-84CF-385BE45B9515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9E-4EFA-84CF-385BE45B95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'2'!$A$13:$A$26</c15:sqref>
                  </c15:fullRef>
                </c:ext>
              </c:extLst>
              <c:f>'2'!$A$13:$A$18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'2'!$B$13:$B$27</c15:sqref>
                  </c15:fullRef>
                </c:ext>
              </c:extLst>
              <c:f>'2'!$B$13:$B$18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349E-4EFA-84CF-385BE45B9515}"/>
            </c:ext>
          </c:extLst>
        </c:ser>
        <c:ser>
          <c:idx val="1"/>
          <c:order val="1"/>
          <c:tx>
            <c:strRef>
              <c:f>'2'!$C$12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349E-4EFA-84CF-385BE45B9515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349E-4EFA-84CF-385BE45B9515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349E-4EFA-84CF-385BE45B9515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49E-4EFA-84CF-385BE45B9515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49E-4EFA-84CF-385BE45B9515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49E-4EFA-84CF-385BE45B9515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49E-4EFA-84CF-385BE45B9515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49E-4EFA-84CF-385BE45B9515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49E-4EFA-84CF-385BE45B9515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49E-4EFA-84CF-385BE45B9515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49E-4EFA-84CF-385BE45B9515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49E-4EFA-84CF-385BE45B95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'2'!$A$13:$A$26</c15:sqref>
                  </c15:fullRef>
                </c:ext>
              </c:extLst>
              <c:f>'2'!$A$13:$A$18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'2'!$C$13:$C$27</c15:sqref>
                  </c15:fullRef>
                </c:ext>
              </c:extLst>
              <c:f>'2'!$C$13:$C$18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115</c:v>
                </c:pt>
                <c:pt idx="2">
                  <c:v>0</c:v>
                </c:pt>
                <c:pt idx="3">
                  <c:v>1950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349E-4EFA-84CF-385BE45B9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4F-481E-AFF8-2E325D4A025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4F-481E-AFF8-2E325D4A025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4F-481E-AFF8-2E325D4A025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4F-481E-AFF8-2E325D4A025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4F-481E-AFF8-2E325D4A025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4F-481E-AFF8-2E325D4A025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A4F-481E-AFF8-2E325D4A025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A4F-481E-AFF8-2E325D4A025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A4F-481E-AFF8-2E325D4A025F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4F-481E-AFF8-2E325D4A025F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4F-481E-AFF8-2E325D4A025F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4F-481E-AFF8-2E325D4A025F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4F-481E-AFF8-2E325D4A025F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4F-481E-AFF8-2E325D4A025F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4F-481E-AFF8-2E325D4A025F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A4F-481E-AFF8-2E325D4A025F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A4F-481E-AFF8-2E325D4A025F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A4F-481E-AFF8-2E325D4A02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'2'!$F$13:$F$27</c15:sqref>
                  </c15:fullRef>
                </c:ext>
              </c:extLst>
              <c:f>'2'!$F$13:$F$21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'2'!$G$13:$G$27</c15:sqref>
                  </c15:fullRef>
                </c:ext>
              </c:extLst>
              <c:f>'2'!$G$13:$G$21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CA4F-481E-AFF8-2E325D4A025F}"/>
            </c:ext>
          </c:extLst>
        </c:ser>
        <c:ser>
          <c:idx val="1"/>
          <c:order val="1"/>
          <c:tx>
            <c:strRef>
              <c:f>'2'!$H$12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A4F-481E-AFF8-2E325D4A025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A4F-481E-AFF8-2E325D4A025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A4F-481E-AFF8-2E325D4A025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CA4F-481E-AFF8-2E325D4A025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CA4F-481E-AFF8-2E325D4A025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A4F-481E-AFF8-2E325D4A025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A4F-481E-AFF8-2E325D4A025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A4F-481E-AFF8-2E325D4A025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A4F-481E-AFF8-2E325D4A025F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A4F-481E-AFF8-2E325D4A025F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A4F-481E-AFF8-2E325D4A025F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A4F-481E-AFF8-2E325D4A025F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A4F-481E-AFF8-2E325D4A025F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A4F-481E-AFF8-2E325D4A025F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A4F-481E-AFF8-2E325D4A025F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A4F-481E-AFF8-2E325D4A025F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A4F-481E-AFF8-2E325D4A025F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A4F-481E-AFF8-2E325D4A02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'2'!$F$13:$F$27</c15:sqref>
                  </c15:fullRef>
                </c:ext>
              </c:extLst>
              <c:f>'2'!$F$13:$F$21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'2'!$H$13:$H$27</c15:sqref>
                  </c15:fullRef>
                </c:ext>
              </c:extLst>
              <c:f>'2'!$H$13:$H$21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350</c:v>
                </c:pt>
                <c:pt idx="3">
                  <c:v>405.5</c:v>
                </c:pt>
                <c:pt idx="4">
                  <c:v>250</c:v>
                </c:pt>
                <c:pt idx="5">
                  <c:v>150</c:v>
                </c:pt>
                <c:pt idx="6">
                  <c:v>765</c:v>
                </c:pt>
                <c:pt idx="7">
                  <c:v>100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CA4F-481E-AFF8-2E325D4A0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'3'!$B$5:$B$7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5-4A81-A8AF-78EC6A7717E2}"/>
            </c:ext>
          </c:extLst>
        </c:ser>
        <c:ser>
          <c:idx val="1"/>
          <c:order val="1"/>
          <c:tx>
            <c:strRef>
              <c:f>'3'!$C$4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'3'!$A$5:$A$7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'3'!$C$5:$C$7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5-4A81-A8AF-78EC6A771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'3'!$B$12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C1-4E54-AAB4-F152D924845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C1-4E54-AAB4-F152D924845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4C1-4E54-AAB4-F152D924845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4C1-4E54-AAB4-F152D924845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4C1-4E54-AAB4-F152D924845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4C1-4E54-AAB4-F152D9248453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4C1-4E54-AAB4-F152D9248453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4C1-4E54-AAB4-F152D9248453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4C1-4E54-AAB4-F152D9248453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4C1-4E54-AAB4-F152D9248453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4C1-4E54-AAB4-F152D9248453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4C1-4E54-AAB4-F152D92484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'3'!$A$13:$A$26</c15:sqref>
                  </c15:fullRef>
                </c:ext>
              </c:extLst>
              <c:f>'3'!$A$13:$A$18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'3'!$B$13:$B$27</c15:sqref>
                  </c15:fullRef>
                </c:ext>
              </c:extLst>
              <c:f>'3'!$B$13:$B$18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E4C1-4E54-AAB4-F152D9248453}"/>
            </c:ext>
          </c:extLst>
        </c:ser>
        <c:ser>
          <c:idx val="1"/>
          <c:order val="1"/>
          <c:tx>
            <c:strRef>
              <c:f>'3'!$C$12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E4C1-4E54-AAB4-F152D924845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E4C1-4E54-AAB4-F152D924845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E4C1-4E54-AAB4-F152D924845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E4C1-4E54-AAB4-F152D924845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E4C1-4E54-AAB4-F152D924845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E4C1-4E54-AAB4-F152D9248453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4C1-4E54-AAB4-F152D9248453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4C1-4E54-AAB4-F152D9248453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4C1-4E54-AAB4-F152D9248453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4C1-4E54-AAB4-F152D9248453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4C1-4E54-AAB4-F152D9248453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4C1-4E54-AAB4-F152D92484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'3'!$A$13:$A$26</c15:sqref>
                  </c15:fullRef>
                </c:ext>
              </c:extLst>
              <c:f>'3'!$A$13:$A$18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'3'!$C$13:$C$27</c15:sqref>
                  </c15:fullRef>
                </c:ext>
              </c:extLst>
              <c:f>'3'!$C$13:$C$18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150</c:v>
                </c:pt>
                <c:pt idx="2">
                  <c:v>5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E4C1-4E54-AAB4-F152D9248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A6-445C-AC07-DE8990B678C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A6-445C-AC07-DE8990B678C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A6-445C-AC07-DE8990B678C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3A6-445C-AC07-DE8990B678C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3A6-445C-AC07-DE8990B678C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3A6-445C-AC07-DE8990B678C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3A6-445C-AC07-DE8990B678C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3A6-445C-AC07-DE8990B678C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3A6-445C-AC07-DE8990B678CF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A6-445C-AC07-DE8990B678CF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A6-445C-AC07-DE8990B678CF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3A6-445C-AC07-DE8990B678CF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A6-445C-AC07-DE8990B678CF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3A6-445C-AC07-DE8990B678CF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A6-445C-AC07-DE8990B678CF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3A6-445C-AC07-DE8990B678CF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3A6-445C-AC07-DE8990B678CF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3A6-445C-AC07-DE8990B67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'3'!$F$13:$F$27</c15:sqref>
                  </c15:fullRef>
                </c:ext>
              </c:extLst>
              <c:f>'3'!$F$13:$F$21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'3'!$G$13:$G$27</c15:sqref>
                  </c15:fullRef>
                </c:ext>
              </c:extLst>
              <c:f>'3'!$G$13:$G$21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43A6-445C-AC07-DE8990B678CF}"/>
            </c:ext>
          </c:extLst>
        </c:ser>
        <c:ser>
          <c:idx val="1"/>
          <c:order val="1"/>
          <c:tx>
            <c:strRef>
              <c:f>'3'!$H$12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3A6-445C-AC07-DE8990B678CF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3A6-445C-AC07-DE8990B678CF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3A6-445C-AC07-DE8990B678CF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43A6-445C-AC07-DE8990B678CF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43A6-445C-AC07-DE8990B678CF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3A6-445C-AC07-DE8990B678CF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3A6-445C-AC07-DE8990B678CF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3A6-445C-AC07-DE8990B678CF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3A6-445C-AC07-DE8990B678CF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3A6-445C-AC07-DE8990B678CF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3A6-445C-AC07-DE8990B678CF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3A6-445C-AC07-DE8990B678CF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3A6-445C-AC07-DE8990B678CF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3A6-445C-AC07-DE8990B678CF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3A6-445C-AC07-DE8990B678CF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3A6-445C-AC07-DE8990B678CF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3A6-445C-AC07-DE8990B678CF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3A6-445C-AC07-DE8990B678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'3'!$F$13:$F$27</c15:sqref>
                  </c15:fullRef>
                </c:ext>
              </c:extLst>
              <c:f>'3'!$F$13:$F$21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'3'!$H$13:$H$27</c15:sqref>
                  </c15:fullRef>
                </c:ext>
              </c:extLst>
              <c:f>'3'!$H$13:$H$21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469.9</c:v>
                </c:pt>
                <c:pt idx="2">
                  <c:v>200</c:v>
                </c:pt>
                <c:pt idx="3">
                  <c:v>734.99</c:v>
                </c:pt>
                <c:pt idx="4">
                  <c:v>9.5</c:v>
                </c:pt>
                <c:pt idx="5">
                  <c:v>23</c:v>
                </c:pt>
                <c:pt idx="6">
                  <c:v>300</c:v>
                </c:pt>
                <c:pt idx="7">
                  <c:v>79.5</c:v>
                </c:pt>
                <c:pt idx="8">
                  <c:v>82.5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43A6-445C-AC07-DE8990B678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'4'!$B$5:$B$7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5B-4323-94D5-99F291D3695F}"/>
            </c:ext>
          </c:extLst>
        </c:ser>
        <c:ser>
          <c:idx val="1"/>
          <c:order val="1"/>
          <c:tx>
            <c:strRef>
              <c:f>'4'!$C$4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'4'!$C$5:$C$7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B-4323-94D5-99F291D36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'4'!$B$12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D15-4576-82C8-B51E1028AC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D15-4576-82C8-B51E1028AC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D15-4576-82C8-B51E1028AC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D15-4576-82C8-B51E1028AC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15-4576-82C8-B51E1028AC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D15-4576-82C8-B51E1028ACE9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D15-4576-82C8-B51E1028ACE9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15-4576-82C8-B51E1028ACE9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D15-4576-82C8-B51E1028ACE9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15-4576-82C8-B51E1028ACE9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15-4576-82C8-B51E1028ACE9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15-4576-82C8-B51E1028AC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'4'!$A$13:$A$26</c15:sqref>
                  </c15:fullRef>
                </c:ext>
              </c:extLst>
              <c:f>'4'!$A$13:$A$18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'4'!$B$13:$B$27</c15:sqref>
                  </c15:fullRef>
                </c:ext>
              </c:extLst>
              <c:f>'4'!$B$13:$B$18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FD15-4576-82C8-B51E1028ACE9}"/>
            </c:ext>
          </c:extLst>
        </c:ser>
        <c:ser>
          <c:idx val="1"/>
          <c:order val="1"/>
          <c:tx>
            <c:strRef>
              <c:f>'4'!$C$12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FD15-4576-82C8-B51E1028AC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FD15-4576-82C8-B51E1028AC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FD15-4576-82C8-B51E1028AC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FD15-4576-82C8-B51E1028AC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FD15-4576-82C8-B51E1028AC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FD15-4576-82C8-B51E1028ACE9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D15-4576-82C8-B51E1028ACE9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D15-4576-82C8-B51E1028ACE9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D15-4576-82C8-B51E1028ACE9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D15-4576-82C8-B51E1028ACE9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D15-4576-82C8-B51E1028ACE9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FD15-4576-82C8-B51E1028AC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'4'!$A$13:$A$26</c15:sqref>
                  </c15:fullRef>
                </c:ext>
              </c:extLst>
              <c:f>'4'!$A$13:$A$18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'4'!$C$13:$C$27</c15:sqref>
                  </c15:fullRef>
                </c:ext>
              </c:extLst>
              <c:f>'4'!$C$13:$C$18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150</c:v>
                </c:pt>
                <c:pt idx="2">
                  <c:v>50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FD15-4576-82C8-B51E1028AC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'4'!$G$12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69-4627-97D5-CB5E1A02CAC3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69-4627-97D5-CB5E1A02CAC3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69-4627-97D5-CB5E1A02CAC3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69-4627-97D5-CB5E1A02CAC3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69-4627-97D5-CB5E1A02CAC3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669-4627-97D5-CB5E1A02CAC3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669-4627-97D5-CB5E1A02CAC3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669-4627-97D5-CB5E1A02CAC3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669-4627-97D5-CB5E1A02CAC3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669-4627-97D5-CB5E1A02CAC3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69-4627-97D5-CB5E1A02CAC3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669-4627-97D5-CB5E1A02CAC3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69-4627-97D5-CB5E1A02CAC3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669-4627-97D5-CB5E1A02CAC3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69-4627-97D5-CB5E1A02CAC3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669-4627-97D5-CB5E1A02CAC3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669-4627-97D5-CB5E1A02CAC3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669-4627-97D5-CB5E1A02C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'4'!$F$13:$F$27</c15:sqref>
                  </c15:fullRef>
                </c:ext>
              </c:extLst>
              <c:f>'4'!$F$13:$F$21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'4'!$G$13:$G$27</c15:sqref>
                  </c15:fullRef>
                </c:ext>
              </c:extLst>
              <c:f>'4'!$G$13:$G$21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D669-4627-97D5-CB5E1A02CAC3}"/>
            </c:ext>
          </c:extLst>
        </c:ser>
        <c:ser>
          <c:idx val="1"/>
          <c:order val="1"/>
          <c:tx>
            <c:strRef>
              <c:f>'4'!$H$12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669-4627-97D5-CB5E1A02CAC3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D669-4627-97D5-CB5E1A02CAC3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669-4627-97D5-CB5E1A02CAC3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669-4627-97D5-CB5E1A02CAC3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669-4627-97D5-CB5E1A02CAC3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669-4627-97D5-CB5E1A02CAC3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669-4627-97D5-CB5E1A02CAC3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669-4627-97D5-CB5E1A02CAC3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669-4627-97D5-CB5E1A02CAC3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669-4627-97D5-CB5E1A02CAC3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669-4627-97D5-CB5E1A02CAC3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669-4627-97D5-CB5E1A02CAC3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669-4627-97D5-CB5E1A02CAC3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669-4627-97D5-CB5E1A02CAC3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669-4627-97D5-CB5E1A02CAC3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669-4627-97D5-CB5E1A02CAC3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669-4627-97D5-CB5E1A02CAC3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669-4627-97D5-CB5E1A02CA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'4'!$F$13:$F$27</c15:sqref>
                  </c15:fullRef>
                </c:ext>
              </c:extLst>
              <c:f>'4'!$F$13:$F$21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'4'!$H$13:$H$27</c15:sqref>
                  </c15:fullRef>
                </c:ext>
              </c:extLst>
              <c:f>'4'!$H$13:$H$21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149</c:v>
                </c:pt>
                <c:pt idx="2">
                  <c:v>1057.9000000000001</c:v>
                </c:pt>
                <c:pt idx="3">
                  <c:v>372.26</c:v>
                </c:pt>
                <c:pt idx="4">
                  <c:v>23.5</c:v>
                </c:pt>
                <c:pt idx="5">
                  <c:v>49</c:v>
                </c:pt>
                <c:pt idx="6">
                  <c:v>100</c:v>
                </c:pt>
                <c:pt idx="7">
                  <c:v>139</c:v>
                </c:pt>
                <c:pt idx="8">
                  <c:v>82.5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D669-4627-97D5-CB5E1A02C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'5'!$B$5:$B$7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C-4A34-9612-FE4AFE9AF4DC}"/>
            </c:ext>
          </c:extLst>
        </c:ser>
        <c:ser>
          <c:idx val="1"/>
          <c:order val="1"/>
          <c:tx>
            <c:strRef>
              <c:f>'5'!$C$4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'5'!$C$5:$C$7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C-4A34-9612-FE4AFE9AF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'5'!$B$12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51-4DEA-B09E-F6549483687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51-4DEA-B09E-F6549483687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51-4DEA-B09E-F6549483687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51-4DEA-B09E-F6549483687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51-4DEA-B09E-F6549483687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51-4DEA-B09E-F65494836873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51-4DEA-B09E-F65494836873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51-4DEA-B09E-F65494836873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51-4DEA-B09E-F65494836873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51-4DEA-B09E-F65494836873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51-4DEA-B09E-F65494836873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51-4DEA-B09E-F654948368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'5'!$A$13:$A$26</c15:sqref>
                  </c15:fullRef>
                </c:ext>
              </c:extLst>
              <c:f>'5'!$A$13:$A$18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'5'!$B$13:$B$27</c15:sqref>
                  </c15:fullRef>
                </c:ext>
              </c:extLst>
              <c:f>'5'!$B$13:$B$18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A151-4DEA-B09E-F65494836873}"/>
            </c:ext>
          </c:extLst>
        </c:ser>
        <c:ser>
          <c:idx val="1"/>
          <c:order val="1"/>
          <c:tx>
            <c:strRef>
              <c:f>'5'!$C$12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A151-4DEA-B09E-F65494836873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A151-4DEA-B09E-F65494836873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A151-4DEA-B09E-F65494836873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151-4DEA-B09E-F65494836873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A151-4DEA-B09E-F65494836873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A151-4DEA-B09E-F65494836873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51-4DEA-B09E-F65494836873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51-4DEA-B09E-F65494836873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51-4DEA-B09E-F65494836873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51-4DEA-B09E-F65494836873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51-4DEA-B09E-F65494836873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51-4DEA-B09E-F654948368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'5'!$A$13:$A$26</c15:sqref>
                  </c15:fullRef>
                </c:ext>
              </c:extLst>
              <c:f>'5'!$A$13:$A$18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'5'!$C$13:$C$27</c15:sqref>
                  </c15:fullRef>
                </c:ext>
              </c:extLst>
              <c:f>'5'!$C$13:$C$18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A151-4DEA-B09E-F6549483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'5'!$G$12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62-4C2B-A87F-011B45F4B664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62-4C2B-A87F-011B45F4B664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62-4C2B-A87F-011B45F4B664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62-4C2B-A87F-011B45F4B664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A62-4C2B-A87F-011B45F4B664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A62-4C2B-A87F-011B45F4B664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A62-4C2B-A87F-011B45F4B664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A62-4C2B-A87F-011B45F4B664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A62-4C2B-A87F-011B45F4B664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62-4C2B-A87F-011B45F4B664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62-4C2B-A87F-011B45F4B664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A62-4C2B-A87F-011B45F4B664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62-4C2B-A87F-011B45F4B664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A62-4C2B-A87F-011B45F4B664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62-4C2B-A87F-011B45F4B664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A62-4C2B-A87F-011B45F4B664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A62-4C2B-A87F-011B45F4B664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A62-4C2B-A87F-011B45F4B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'5'!$F$13:$F$27</c15:sqref>
                  </c15:fullRef>
                </c:ext>
              </c:extLst>
              <c:f>'5'!$F$13:$F$21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'5'!$G$13:$G$27</c15:sqref>
                  </c15:fullRef>
                </c:ext>
              </c:extLst>
              <c:f>'5'!$G$13:$G$21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AA62-4C2B-A87F-011B45F4B664}"/>
            </c:ext>
          </c:extLst>
        </c:ser>
        <c:ser>
          <c:idx val="1"/>
          <c:order val="1"/>
          <c:tx>
            <c:strRef>
              <c:f>'5'!$H$12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A62-4C2B-A87F-011B45F4B664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AA62-4C2B-A87F-011B45F4B664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AA62-4C2B-A87F-011B45F4B664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AA62-4C2B-A87F-011B45F4B664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AA62-4C2B-A87F-011B45F4B664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AA62-4C2B-A87F-011B45F4B664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AA62-4C2B-A87F-011B45F4B664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AA62-4C2B-A87F-011B45F4B664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AA62-4C2B-A87F-011B45F4B664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A62-4C2B-A87F-011B45F4B664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A62-4C2B-A87F-011B45F4B664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A62-4C2B-A87F-011B45F4B664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A62-4C2B-A87F-011B45F4B664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A62-4C2B-A87F-011B45F4B664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A62-4C2B-A87F-011B45F4B664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A62-4C2B-A87F-011B45F4B664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A62-4C2B-A87F-011B45F4B664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A62-4C2B-A87F-011B45F4B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'5'!$F$13:$F$27</c15:sqref>
                  </c15:fullRef>
                </c:ext>
              </c:extLst>
              <c:f>'5'!$F$13:$F$21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'5'!$H$13:$H$27</c15:sqref>
                  </c15:fullRef>
                </c:ext>
              </c:extLst>
              <c:f>'5'!$H$13:$H$21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80</c:v>
                </c:pt>
                <c:pt idx="3">
                  <c:v>1000</c:v>
                </c:pt>
                <c:pt idx="4">
                  <c:v>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AA62-4C2B-A87F-011B45F4B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'6'!$B$4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'6'!$A$5:$A$7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'6'!$B$5:$B$7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3-46F2-9842-1D45E2827858}"/>
            </c:ext>
          </c:extLst>
        </c:ser>
        <c:ser>
          <c:idx val="1"/>
          <c:order val="1"/>
          <c:tx>
            <c:strRef>
              <c:f>'6'!$C$4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'6'!$A$5:$A$7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'6'!$C$5:$C$7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53-46F2-9842-1D45E282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'6'!$B$12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8C-4B6D-B337-027D351AC2A0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8C-4B6D-B337-027D351AC2A0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8C-4B6D-B337-027D351AC2A0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8C-4B6D-B337-027D351AC2A0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A8C-4B6D-B337-027D351AC2A0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A8C-4B6D-B337-027D351AC2A0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A8C-4B6D-B337-027D351AC2A0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8C-4B6D-B337-027D351AC2A0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A8C-4B6D-B337-027D351AC2A0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8C-4B6D-B337-027D351AC2A0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C-4B6D-B337-027D351AC2A0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8C-4B6D-B337-027D351AC2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'6'!$A$13:$A$26</c15:sqref>
                  </c15:fullRef>
                </c:ext>
              </c:extLst>
              <c:f>'6'!$A$13:$A$18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'6'!$B$13:$B$27</c15:sqref>
                  </c15:fullRef>
                </c:ext>
              </c:extLst>
              <c:f>'6'!$B$13:$B$18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CA8C-4B6D-B337-027D351AC2A0}"/>
            </c:ext>
          </c:extLst>
        </c:ser>
        <c:ser>
          <c:idx val="1"/>
          <c:order val="1"/>
          <c:tx>
            <c:strRef>
              <c:f>'6'!$C$12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A8C-4B6D-B337-027D351AC2A0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A8C-4B6D-B337-027D351AC2A0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CA8C-4B6D-B337-027D351AC2A0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A8C-4B6D-B337-027D351AC2A0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A8C-4B6D-B337-027D351AC2A0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A8C-4B6D-B337-027D351AC2A0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A8C-4B6D-B337-027D351AC2A0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A8C-4B6D-B337-027D351AC2A0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A8C-4B6D-B337-027D351AC2A0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A8C-4B6D-B337-027D351AC2A0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A8C-4B6D-B337-027D351AC2A0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A8C-4B6D-B337-027D351AC2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'6'!$A$13:$A$26</c15:sqref>
                  </c15:fullRef>
                </c:ext>
              </c:extLst>
              <c:f>'6'!$A$13:$A$18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'6'!$C$13:$C$27</c15:sqref>
                  </c15:fullRef>
                </c:ext>
              </c:extLst>
              <c:f>'6'!$C$13:$C$18</c:f>
              <c:numCache>
                <c:formatCode>_("zł"* #,##0.00_);_("zł"* \(#,##0.00\);_("zł"* "-"??_);_(@_)</c:formatCode>
                <c:ptCount val="6"/>
                <c:pt idx="0">
                  <c:v>400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CA8C-4B6D-B337-027D351AC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'6'!$G$12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F0-4919-B682-AC530FF2EBF6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F0-4919-B682-AC530FF2EBF6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2F0-4919-B682-AC530FF2EBF6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2F0-4919-B682-AC530FF2EBF6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2F0-4919-B682-AC530FF2EBF6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2F0-4919-B682-AC530FF2EBF6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2F0-4919-B682-AC530FF2EBF6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2F0-4919-B682-AC530FF2EBF6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2F0-4919-B682-AC530FF2EBF6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2F0-4919-B682-AC530FF2EBF6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F0-4919-B682-AC530FF2EBF6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2F0-4919-B682-AC530FF2EBF6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F0-4919-B682-AC530FF2EBF6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2F0-4919-B682-AC530FF2EBF6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F0-4919-B682-AC530FF2EBF6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02F0-4919-B682-AC530FF2EBF6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2F0-4919-B682-AC530FF2EBF6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02F0-4919-B682-AC530FF2EB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'6'!$F$13:$F$27</c15:sqref>
                  </c15:fullRef>
                </c:ext>
              </c:extLst>
              <c:f>'6'!$F$13:$F$21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'6'!$G$13:$G$27</c15:sqref>
                  </c15:fullRef>
                </c:ext>
              </c:extLst>
              <c:f>'6'!$G$13:$G$21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02F0-4919-B682-AC530FF2EBF6}"/>
            </c:ext>
          </c:extLst>
        </c:ser>
        <c:ser>
          <c:idx val="1"/>
          <c:order val="1"/>
          <c:tx>
            <c:strRef>
              <c:f>'6'!$H$12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02F0-4919-B682-AC530FF2EBF6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02F0-4919-B682-AC530FF2EBF6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02F0-4919-B682-AC530FF2EBF6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02F0-4919-B682-AC530FF2EBF6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02F0-4919-B682-AC530FF2EBF6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02F0-4919-B682-AC530FF2EBF6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02F0-4919-B682-AC530FF2EBF6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02F0-4919-B682-AC530FF2EBF6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02F0-4919-B682-AC530FF2EBF6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02F0-4919-B682-AC530FF2EBF6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2F0-4919-B682-AC530FF2EBF6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02F0-4919-B682-AC530FF2EBF6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2F0-4919-B682-AC530FF2EBF6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02F0-4919-B682-AC530FF2EBF6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02F0-4919-B682-AC530FF2EBF6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02F0-4919-B682-AC530FF2EBF6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02F0-4919-B682-AC530FF2EBF6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02F0-4919-B682-AC530FF2EB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'6'!$F$13:$F$27</c15:sqref>
                  </c15:fullRef>
                </c:ext>
              </c:extLst>
              <c:f>'6'!$F$13:$F$21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'6'!$H$13:$H$27</c15:sqref>
                  </c15:fullRef>
                </c:ext>
              </c:extLst>
              <c:f>'6'!$H$13:$H$21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300</c:v>
                </c:pt>
                <c:pt idx="2">
                  <c:v>200</c:v>
                </c:pt>
                <c:pt idx="3">
                  <c:v>1000</c:v>
                </c:pt>
                <c:pt idx="4">
                  <c:v>100</c:v>
                </c:pt>
                <c:pt idx="5">
                  <c:v>50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02F0-4919-B682-AC530FF2E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'7'!$A$5:$A$7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'7'!$B$5:$B$7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D-40CB-9C0E-41D6CA208D02}"/>
            </c:ext>
          </c:extLst>
        </c:ser>
        <c:ser>
          <c:idx val="1"/>
          <c:order val="1"/>
          <c:tx>
            <c:strRef>
              <c:f>'7'!$C$4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'7'!$A$5:$A$7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'7'!$C$5:$C$7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0D-40CB-9C0E-41D6CA208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'7'!$B$12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C8-4F97-BBE5-2D9950B0E8B1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C8-4F97-BBE5-2D9950B0E8B1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C8-4F97-BBE5-2D9950B0E8B1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C8-4F97-BBE5-2D9950B0E8B1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5C8-4F97-BBE5-2D9950B0E8B1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5C8-4F97-BBE5-2D9950B0E8B1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5C8-4F97-BBE5-2D9950B0E8B1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5C8-4F97-BBE5-2D9950B0E8B1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5C8-4F97-BBE5-2D9950B0E8B1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5C8-4F97-BBE5-2D9950B0E8B1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5C8-4F97-BBE5-2D9950B0E8B1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5C8-4F97-BBE5-2D9950B0E8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'7'!$A$13:$A$26</c15:sqref>
                  </c15:fullRef>
                </c:ext>
              </c:extLst>
              <c:f>'7'!$A$13:$A$18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'7'!$B$13:$B$27</c15:sqref>
                  </c15:fullRef>
                </c:ext>
              </c:extLst>
              <c:f>'7'!$B$13:$B$18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15C8-4F97-BBE5-2D9950B0E8B1}"/>
            </c:ext>
          </c:extLst>
        </c:ser>
        <c:ser>
          <c:idx val="1"/>
          <c:order val="1"/>
          <c:tx>
            <c:strRef>
              <c:f>'7'!$C$12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15C8-4F97-BBE5-2D9950B0E8B1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5C8-4F97-BBE5-2D9950B0E8B1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15C8-4F97-BBE5-2D9950B0E8B1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5C8-4F97-BBE5-2D9950B0E8B1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5C8-4F97-BBE5-2D9950B0E8B1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5C8-4F97-BBE5-2D9950B0E8B1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5C8-4F97-BBE5-2D9950B0E8B1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5C8-4F97-BBE5-2D9950B0E8B1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5C8-4F97-BBE5-2D9950B0E8B1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5C8-4F97-BBE5-2D9950B0E8B1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5C8-4F97-BBE5-2D9950B0E8B1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5C8-4F97-BBE5-2D9950B0E8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'7'!$A$13:$A$26</c15:sqref>
                  </c15:fullRef>
                </c:ext>
              </c:extLst>
              <c:f>'7'!$A$13:$A$18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'7'!$C$13:$C$27</c15:sqref>
                  </c15:fullRef>
                </c:ext>
              </c:extLst>
              <c:f>'7'!$C$13:$C$18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120</c:v>
                </c:pt>
                <c:pt idx="2">
                  <c:v>800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15C8-4F97-BBE5-2D9950B0E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'7'!$G$12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67-44AE-9603-1A4C0533933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67-44AE-9603-1A4C0533933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67-44AE-9603-1A4C0533933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867-44AE-9603-1A4C0533933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867-44AE-9603-1A4C0533933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867-44AE-9603-1A4C0533933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867-44AE-9603-1A4C0533933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867-44AE-9603-1A4C0533933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867-44AE-9603-1A4C0533933C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67-44AE-9603-1A4C0533933C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67-44AE-9603-1A4C0533933C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67-44AE-9603-1A4C0533933C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67-44AE-9603-1A4C0533933C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67-44AE-9603-1A4C0533933C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67-44AE-9603-1A4C0533933C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867-44AE-9603-1A4C0533933C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867-44AE-9603-1A4C0533933C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867-44AE-9603-1A4C05339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'7'!$F$13:$F$27</c15:sqref>
                  </c15:fullRef>
                </c:ext>
              </c:extLst>
              <c:f>'7'!$F$13:$F$21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'7'!$G$13:$G$27</c15:sqref>
                  </c15:fullRef>
                </c:ext>
              </c:extLst>
              <c:f>'7'!$G$13:$G$21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1867-44AE-9603-1A4C0533933C}"/>
            </c:ext>
          </c:extLst>
        </c:ser>
        <c:ser>
          <c:idx val="1"/>
          <c:order val="1"/>
          <c:tx>
            <c:strRef>
              <c:f>'7'!$H$12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867-44AE-9603-1A4C0533933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867-44AE-9603-1A4C0533933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867-44AE-9603-1A4C0533933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1867-44AE-9603-1A4C0533933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1867-44AE-9603-1A4C0533933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867-44AE-9603-1A4C0533933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867-44AE-9603-1A4C0533933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867-44AE-9603-1A4C0533933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867-44AE-9603-1A4C0533933C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867-44AE-9603-1A4C0533933C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867-44AE-9603-1A4C0533933C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867-44AE-9603-1A4C0533933C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867-44AE-9603-1A4C0533933C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867-44AE-9603-1A4C0533933C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867-44AE-9603-1A4C0533933C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867-44AE-9603-1A4C0533933C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867-44AE-9603-1A4C0533933C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867-44AE-9603-1A4C05339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'7'!$F$13:$F$27</c15:sqref>
                  </c15:fullRef>
                </c:ext>
              </c:extLst>
              <c:f>'7'!$F$13:$F$21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'7'!$H$13:$H$27</c15:sqref>
                  </c15:fullRef>
                </c:ext>
              </c:extLst>
              <c:f>'7'!$H$13:$H$21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-250</c:v>
                </c:pt>
                <c:pt idx="2">
                  <c:v>700</c:v>
                </c:pt>
                <c:pt idx="3">
                  <c:v>165</c:v>
                </c:pt>
                <c:pt idx="4">
                  <c:v>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1867-44AE-9603-1A4C05339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'8'!$B$4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'8'!$A$5:$A$7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'8'!$B$5:$B$7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AC-42B0-A00E-2B38D86B7E7B}"/>
            </c:ext>
          </c:extLst>
        </c:ser>
        <c:ser>
          <c:idx val="1"/>
          <c:order val="1"/>
          <c:tx>
            <c:strRef>
              <c:f>'8'!$C$4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'8'!$A$5:$A$7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'8'!$C$5:$C$7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AC-42B0-A00E-2B38D86B7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'8'!$B$12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B33-4CD9-93E3-4FBAC7EDA04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B33-4CD9-93E3-4FBAC7EDA04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B33-4CD9-93E3-4FBAC7EDA04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B33-4CD9-93E3-4FBAC7EDA04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B33-4CD9-93E3-4FBAC7EDA04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33-4CD9-93E3-4FBAC7EDA044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33-4CD9-93E3-4FBAC7EDA044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3-4CD9-93E3-4FBAC7EDA044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B33-4CD9-93E3-4FBAC7EDA044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33-4CD9-93E3-4FBAC7EDA044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B33-4CD9-93E3-4FBAC7EDA044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33-4CD9-93E3-4FBAC7EDA0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'8'!$A$13:$A$26</c15:sqref>
                  </c15:fullRef>
                </c:ext>
              </c:extLst>
              <c:f>'8'!$A$13:$A$18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'8'!$B$13:$B$27</c15:sqref>
                  </c15:fullRef>
                </c:ext>
              </c:extLst>
              <c:f>'8'!$B$13:$B$18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7B33-4CD9-93E3-4FBAC7EDA044}"/>
            </c:ext>
          </c:extLst>
        </c:ser>
        <c:ser>
          <c:idx val="1"/>
          <c:order val="1"/>
          <c:tx>
            <c:strRef>
              <c:f>'8'!$C$12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7B33-4CD9-93E3-4FBAC7EDA044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B33-4CD9-93E3-4FBAC7EDA044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7B33-4CD9-93E3-4FBAC7EDA044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7B33-4CD9-93E3-4FBAC7EDA044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7B33-4CD9-93E3-4FBAC7EDA044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7B33-4CD9-93E3-4FBAC7EDA044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B33-4CD9-93E3-4FBAC7EDA044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B33-4CD9-93E3-4FBAC7EDA044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B33-4CD9-93E3-4FBAC7EDA044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B33-4CD9-93E3-4FBAC7EDA044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B33-4CD9-93E3-4FBAC7EDA044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B33-4CD9-93E3-4FBAC7EDA0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'8'!$A$13:$A$26</c15:sqref>
                  </c15:fullRef>
                </c:ext>
              </c:extLst>
              <c:f>'8'!$A$13:$A$18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'8'!$C$13:$C$27</c15:sqref>
                  </c15:fullRef>
                </c:ext>
              </c:extLst>
              <c:f>'8'!$C$13:$C$18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7B33-4CD9-93E3-4FBAC7EDA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'8'!$G$12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AA-4BB9-8493-B5B4B4550031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AA-4BB9-8493-B5B4B4550031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AA-4BB9-8493-B5B4B4550031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AA-4BB9-8493-B5B4B4550031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4AA-4BB9-8493-B5B4B4550031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4AA-4BB9-8493-B5B4B4550031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4AA-4BB9-8493-B5B4B4550031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4AA-4BB9-8493-B5B4B4550031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4AA-4BB9-8493-B5B4B4550031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4AA-4BB9-8493-B5B4B4550031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AA-4BB9-8493-B5B4B4550031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AA-4BB9-8493-B5B4B4550031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AA-4BB9-8493-B5B4B4550031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4AA-4BB9-8493-B5B4B4550031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AA-4BB9-8493-B5B4B4550031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4AA-4BB9-8493-B5B4B4550031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4AA-4BB9-8493-B5B4B4550031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4AA-4BB9-8493-B5B4B4550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'8'!$F$13:$F$27</c15:sqref>
                  </c15:fullRef>
                </c:ext>
              </c:extLst>
              <c:f>'8'!$F$13:$F$21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'8'!$G$13:$G$27</c15:sqref>
                  </c15:fullRef>
                </c:ext>
              </c:extLst>
              <c:f>'8'!$G$13:$G$21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D4AA-4BB9-8493-B5B4B4550031}"/>
            </c:ext>
          </c:extLst>
        </c:ser>
        <c:ser>
          <c:idx val="1"/>
          <c:order val="1"/>
          <c:tx>
            <c:strRef>
              <c:f>'8'!$H$12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4AA-4BB9-8493-B5B4B4550031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D4AA-4BB9-8493-B5B4B4550031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4AA-4BB9-8493-B5B4B4550031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4AA-4BB9-8493-B5B4B4550031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4AA-4BB9-8493-B5B4B4550031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4AA-4BB9-8493-B5B4B4550031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4AA-4BB9-8493-B5B4B4550031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4AA-4BB9-8493-B5B4B4550031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4AA-4BB9-8493-B5B4B4550031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4AA-4BB9-8493-B5B4B4550031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4AA-4BB9-8493-B5B4B4550031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4AA-4BB9-8493-B5B4B4550031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4AA-4BB9-8493-B5B4B4550031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4AA-4BB9-8493-B5B4B4550031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4AA-4BB9-8493-B5B4B4550031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4AA-4BB9-8493-B5B4B4550031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4AA-4BB9-8493-B5B4B4550031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4AA-4BB9-8493-B5B4B4550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'8'!$F$13:$F$27</c15:sqref>
                  </c15:fullRef>
                </c:ext>
              </c:extLst>
              <c:f>'8'!$F$13:$F$21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'8'!$H$13:$H$27</c15:sqref>
                  </c15:fullRef>
                </c:ext>
              </c:extLst>
              <c:f>'8'!$H$13:$H$21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20</c:v>
                </c:pt>
                <c:pt idx="3">
                  <c:v>538.5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D4AA-4BB9-8493-B5B4B4550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'9'!$B$4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'9'!$A$5:$A$7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'9'!$B$5:$B$7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4A-46B1-8D9A-C009F48C520B}"/>
            </c:ext>
          </c:extLst>
        </c:ser>
        <c:ser>
          <c:idx val="1"/>
          <c:order val="1"/>
          <c:tx>
            <c:strRef>
              <c:f>'9'!$C$4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'9'!$A$5:$A$7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'9'!$C$5:$C$7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4A-46B1-8D9A-C009F48C5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'9'!$B$12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DB-4797-BCF1-B0410FDA123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DB-4797-BCF1-B0410FDA123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DB-4797-BCF1-B0410FDA123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DB-4797-BCF1-B0410FDA123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DB-4797-BCF1-B0410FDA123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FDB-4797-BCF1-B0410FDA1238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FDB-4797-BCF1-B0410FDA1238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DB-4797-BCF1-B0410FDA1238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FDB-4797-BCF1-B0410FDA1238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DB-4797-BCF1-B0410FDA1238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FDB-4797-BCF1-B0410FDA1238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DB-4797-BCF1-B0410FDA12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'9'!$A$13:$A$26</c15:sqref>
                  </c15:fullRef>
                </c:ext>
              </c:extLst>
              <c:f>'9'!$A$13:$A$18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'9'!$B$13:$B$27</c15:sqref>
                  </c15:fullRef>
                </c:ext>
              </c:extLst>
              <c:f>'9'!$B$13:$B$18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CFDB-4797-BCF1-B0410FDA1238}"/>
            </c:ext>
          </c:extLst>
        </c:ser>
        <c:ser>
          <c:idx val="1"/>
          <c:order val="1"/>
          <c:tx>
            <c:strRef>
              <c:f>'9'!$C$12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FDB-4797-BCF1-B0410FDA123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CFDB-4797-BCF1-B0410FDA123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CFDB-4797-BCF1-B0410FDA123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FDB-4797-BCF1-B0410FDA123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FDB-4797-BCF1-B0410FDA123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FDB-4797-BCF1-B0410FDA1238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FDB-4797-BCF1-B0410FDA1238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FDB-4797-BCF1-B0410FDA1238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FDB-4797-BCF1-B0410FDA1238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FDB-4797-BCF1-B0410FDA1238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FDB-4797-BCF1-B0410FDA1238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FDB-4797-BCF1-B0410FDA12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'9'!$A$13:$A$26</c15:sqref>
                  </c15:fullRef>
                </c:ext>
              </c:extLst>
              <c:f>'9'!$A$13:$A$18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'9'!$C$13:$C$27</c15:sqref>
                  </c15:fullRef>
                </c:ext>
              </c:extLst>
              <c:f>'9'!$C$13:$C$18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CFDB-4797-BCF1-B0410FDA1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'9'!$G$12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83-4A42-A2A9-08E6ACAF47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83-4A42-A2A9-08E6ACAF47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83-4A42-A2A9-08E6ACAF47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83-4A42-A2A9-08E6ACAF47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83-4A42-A2A9-08E6ACAF47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83-4A42-A2A9-08E6ACAF47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83-4A42-A2A9-08E6ACAF47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83-4A42-A2A9-08E6ACAF47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A83-4A42-A2A9-08E6ACAF472C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A83-4A42-A2A9-08E6ACAF472C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83-4A42-A2A9-08E6ACAF472C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A83-4A42-A2A9-08E6ACAF472C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83-4A42-A2A9-08E6ACAF472C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A83-4A42-A2A9-08E6ACAF472C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83-4A42-A2A9-08E6ACAF472C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A83-4A42-A2A9-08E6ACAF472C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A83-4A42-A2A9-08E6ACAF472C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A83-4A42-A2A9-08E6ACAF4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'9'!$F$13:$F$27</c15:sqref>
                  </c15:fullRef>
                </c:ext>
              </c:extLst>
              <c:f>'9'!$F$13:$F$21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'9'!$G$13:$G$27</c15:sqref>
                  </c15:fullRef>
                </c:ext>
              </c:extLst>
              <c:f>'9'!$G$13:$G$21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4A83-4A42-A2A9-08E6ACAF472C}"/>
            </c:ext>
          </c:extLst>
        </c:ser>
        <c:ser>
          <c:idx val="1"/>
          <c:order val="1"/>
          <c:tx>
            <c:strRef>
              <c:f>'9'!$H$12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A83-4A42-A2A9-08E6ACAF47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A83-4A42-A2A9-08E6ACAF47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A83-4A42-A2A9-08E6ACAF47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4A83-4A42-A2A9-08E6ACAF47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4A83-4A42-A2A9-08E6ACAF47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4A83-4A42-A2A9-08E6ACAF47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4A83-4A42-A2A9-08E6ACAF47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4A83-4A42-A2A9-08E6ACAF47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4A83-4A42-A2A9-08E6ACAF472C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A83-4A42-A2A9-08E6ACAF472C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A83-4A42-A2A9-08E6ACAF472C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A83-4A42-A2A9-08E6ACAF472C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A83-4A42-A2A9-08E6ACAF472C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A83-4A42-A2A9-08E6ACAF472C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A83-4A42-A2A9-08E6ACAF472C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A83-4A42-A2A9-08E6ACAF472C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A83-4A42-A2A9-08E6ACAF472C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A83-4A42-A2A9-08E6ACAF4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'9'!$F$13:$F$27</c15:sqref>
                  </c15:fullRef>
                </c:ext>
              </c:extLst>
              <c:f>'9'!$F$13:$F$21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'9'!$H$13:$H$27</c15:sqref>
                  </c15:fullRef>
                </c:ext>
              </c:extLst>
              <c:f>'9'!$H$13:$H$21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300</c:v>
                </c:pt>
                <c:pt idx="2">
                  <c:v>250</c:v>
                </c:pt>
                <c:pt idx="3">
                  <c:v>749.5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4A83-4A42-A2A9-08E6ACAF4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'10'!$B$4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'10'!$A$5:$A$7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'10'!$B$5:$B$7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A-44A3-A5C7-DA940379D2E4}"/>
            </c:ext>
          </c:extLst>
        </c:ser>
        <c:ser>
          <c:idx val="1"/>
          <c:order val="1"/>
          <c:tx>
            <c:strRef>
              <c:f>'10'!$C$4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'10'!$A$5:$A$7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'10'!$C$5:$C$7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A-44A3-A5C7-DA940379D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'10'!$B$12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79-4CBC-A946-00D3F61FD9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79-4CBC-A946-00D3F61FD9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579-4CBC-A946-00D3F61FD9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579-4CBC-A946-00D3F61FD9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579-4CBC-A946-00D3F61FD9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579-4CBC-A946-00D3F61FD9E9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79-4CBC-A946-00D3F61FD9E9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79-4CBC-A946-00D3F61FD9E9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79-4CBC-A946-00D3F61FD9E9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79-4CBC-A946-00D3F61FD9E9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79-4CBC-A946-00D3F61FD9E9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79-4CBC-A946-00D3F61FD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'10'!$A$13:$A$26</c15:sqref>
                  </c15:fullRef>
                </c:ext>
              </c:extLst>
              <c:f>'10'!$A$13:$A$18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'10'!$B$13:$B$27</c15:sqref>
                  </c15:fullRef>
                </c:ext>
              </c:extLst>
              <c:f>'10'!$B$13:$B$18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4579-4CBC-A946-00D3F61FD9E9}"/>
            </c:ext>
          </c:extLst>
        </c:ser>
        <c:ser>
          <c:idx val="1"/>
          <c:order val="1"/>
          <c:tx>
            <c:strRef>
              <c:f>'10'!$C$12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4579-4CBC-A946-00D3F61FD9E9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579-4CBC-A946-00D3F61FD9E9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579-4CBC-A946-00D3F61FD9E9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4579-4CBC-A946-00D3F61FD9E9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4579-4CBC-A946-00D3F61FD9E9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4579-4CBC-A946-00D3F61FD9E9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579-4CBC-A946-00D3F61FD9E9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579-4CBC-A946-00D3F61FD9E9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79-4CBC-A946-00D3F61FD9E9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79-4CBC-A946-00D3F61FD9E9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579-4CBC-A946-00D3F61FD9E9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579-4CBC-A946-00D3F61FD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'10'!$A$13:$A$26</c15:sqref>
                  </c15:fullRef>
                </c:ext>
              </c:extLst>
              <c:f>'10'!$A$13:$A$18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'10'!$C$13:$C$27</c15:sqref>
                  </c15:fullRef>
                </c:ext>
              </c:extLst>
              <c:f>'10'!$C$13:$C$18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4579-4CBC-A946-00D3F61FD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'10'!$G$12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2E-49D5-BC82-DA8A17031E2B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2E-49D5-BC82-DA8A17031E2B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2E-49D5-BC82-DA8A17031E2B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2E-49D5-BC82-DA8A17031E2B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2E-49D5-BC82-DA8A17031E2B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32E-49D5-BC82-DA8A17031E2B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32E-49D5-BC82-DA8A17031E2B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32E-49D5-BC82-DA8A17031E2B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32E-49D5-BC82-DA8A17031E2B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32E-49D5-BC82-DA8A17031E2B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2E-49D5-BC82-DA8A17031E2B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2E-49D5-BC82-DA8A17031E2B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2E-49D5-BC82-DA8A17031E2B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32E-49D5-BC82-DA8A17031E2B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2E-49D5-BC82-DA8A17031E2B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32E-49D5-BC82-DA8A17031E2B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32E-49D5-BC82-DA8A17031E2B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32E-49D5-BC82-DA8A17031E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'10'!$F$13:$F$27</c15:sqref>
                  </c15:fullRef>
                </c:ext>
              </c:extLst>
              <c:f>'10'!$F$13:$F$21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'10'!$G$13:$G$27</c15:sqref>
                  </c15:fullRef>
                </c:ext>
              </c:extLst>
              <c:f>'10'!$G$13:$G$21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C32E-49D5-BC82-DA8A17031E2B}"/>
            </c:ext>
          </c:extLst>
        </c:ser>
        <c:ser>
          <c:idx val="1"/>
          <c:order val="1"/>
          <c:tx>
            <c:strRef>
              <c:f>'10'!$H$12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C32E-49D5-BC82-DA8A17031E2B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C32E-49D5-BC82-DA8A17031E2B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C32E-49D5-BC82-DA8A17031E2B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C32E-49D5-BC82-DA8A17031E2B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C32E-49D5-BC82-DA8A17031E2B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C32E-49D5-BC82-DA8A17031E2B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C32E-49D5-BC82-DA8A17031E2B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C32E-49D5-BC82-DA8A17031E2B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C32E-49D5-BC82-DA8A17031E2B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32E-49D5-BC82-DA8A17031E2B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32E-49D5-BC82-DA8A17031E2B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32E-49D5-BC82-DA8A17031E2B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32E-49D5-BC82-DA8A17031E2B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32E-49D5-BC82-DA8A17031E2B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32E-49D5-BC82-DA8A17031E2B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32E-49D5-BC82-DA8A17031E2B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32E-49D5-BC82-DA8A17031E2B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32E-49D5-BC82-DA8A17031E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'10'!$F$13:$F$27</c15:sqref>
                  </c15:fullRef>
                </c:ext>
              </c:extLst>
              <c:f>'10'!$F$13:$F$21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'10'!$H$13:$H$27</c15:sqref>
                  </c15:fullRef>
                </c:ext>
              </c:extLst>
              <c:f>'10'!$H$13:$H$21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0</c:v>
                </c:pt>
                <c:pt idx="2">
                  <c:v>40</c:v>
                </c:pt>
                <c:pt idx="3">
                  <c:v>600</c:v>
                </c:pt>
                <c:pt idx="4">
                  <c:v>0</c:v>
                </c:pt>
                <c:pt idx="5">
                  <c:v>40</c:v>
                </c:pt>
                <c:pt idx="6">
                  <c:v>0</c:v>
                </c:pt>
                <c:pt idx="7">
                  <c:v>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C32E-49D5-BC82-DA8A17031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'11'!$B$4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'11'!$B$5:$B$7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8-4C66-AF22-F721E3B16356}"/>
            </c:ext>
          </c:extLst>
        </c:ser>
        <c:ser>
          <c:idx val="1"/>
          <c:order val="1"/>
          <c:tx>
            <c:strRef>
              <c:f>'11'!$C$4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'11'!$A$5:$A$7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'11'!$C$5:$C$7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38-4C66-AF22-F721E3B16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'11'!$B$12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38-4970-8658-C638D071BC4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938-4970-8658-C638D071BC4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938-4970-8658-C638D071BC4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938-4970-8658-C638D071BC4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938-4970-8658-C638D071BC4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938-4970-8658-C638D071BC48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38-4970-8658-C638D071BC48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38-4970-8658-C638D071BC48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938-4970-8658-C638D071BC48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38-4970-8658-C638D071BC48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938-4970-8658-C638D071BC48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38-4970-8658-C638D071B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'11'!$A$13:$A$26</c15:sqref>
                  </c15:fullRef>
                </c:ext>
              </c:extLst>
              <c:f>'11'!$A$13:$A$18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'11'!$B$13:$B$27</c15:sqref>
                  </c15:fullRef>
                </c:ext>
              </c:extLst>
              <c:f>'11'!$B$13:$B$18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9938-4970-8658-C638D071BC48}"/>
            </c:ext>
          </c:extLst>
        </c:ser>
        <c:ser>
          <c:idx val="1"/>
          <c:order val="1"/>
          <c:tx>
            <c:strRef>
              <c:f>'11'!$C$12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9938-4970-8658-C638D071BC48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9938-4970-8658-C638D071BC48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9938-4970-8658-C638D071BC48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9938-4970-8658-C638D071BC48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9938-4970-8658-C638D071BC48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9938-4970-8658-C638D071BC48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938-4970-8658-C638D071BC48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938-4970-8658-C638D071BC48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938-4970-8658-C638D071BC48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938-4970-8658-C638D071BC48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938-4970-8658-C638D071BC48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938-4970-8658-C638D071B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'11'!$A$13:$A$26</c15:sqref>
                  </c15:fullRef>
                </c:ext>
              </c:extLst>
              <c:f>'11'!$A$13:$A$18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'11'!$C$13:$C$27</c15:sqref>
                  </c15:fullRef>
                </c:ext>
              </c:extLst>
              <c:f>'11'!$C$13:$C$18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400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9938-4970-8658-C638D071B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'11'!$G$12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8CC-4734-8158-8F72E19D6B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8CC-4734-8158-8F72E19D6B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8CC-4734-8158-8F72E19D6B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8CC-4734-8158-8F72E19D6B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8CC-4734-8158-8F72E19D6B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8CC-4734-8158-8F72E19D6B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8CC-4734-8158-8F72E19D6B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8CC-4734-8158-8F72E19D6B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8CC-4734-8158-8F72E19D6B2C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CC-4734-8158-8F72E19D6B2C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CC-4734-8158-8F72E19D6B2C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CC-4734-8158-8F72E19D6B2C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CC-4734-8158-8F72E19D6B2C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8CC-4734-8158-8F72E19D6B2C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CC-4734-8158-8F72E19D6B2C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8CC-4734-8158-8F72E19D6B2C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8CC-4734-8158-8F72E19D6B2C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8CC-4734-8158-8F72E19D6B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'11'!$F$13:$F$27</c15:sqref>
                  </c15:fullRef>
                </c:ext>
              </c:extLst>
              <c:f>'11'!$F$13:$F$21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'11'!$G$13:$G$27</c15:sqref>
                  </c15:fullRef>
                </c:ext>
              </c:extLst>
              <c:f>'11'!$G$13:$G$21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D8CC-4734-8158-8F72E19D6B2C}"/>
            </c:ext>
          </c:extLst>
        </c:ser>
        <c:ser>
          <c:idx val="1"/>
          <c:order val="1"/>
          <c:tx>
            <c:strRef>
              <c:f>'11'!$H$12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D8CC-4734-8158-8F72E19D6B2C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D8CC-4734-8158-8F72E19D6B2C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D8CC-4734-8158-8F72E19D6B2C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D8CC-4734-8158-8F72E19D6B2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D8CC-4734-8158-8F72E19D6B2C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D8CC-4734-8158-8F72E19D6B2C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D8CC-4734-8158-8F72E19D6B2C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D8CC-4734-8158-8F72E19D6B2C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D8CC-4734-8158-8F72E19D6B2C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8CC-4734-8158-8F72E19D6B2C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8CC-4734-8158-8F72E19D6B2C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8CC-4734-8158-8F72E19D6B2C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8CC-4734-8158-8F72E19D6B2C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8CC-4734-8158-8F72E19D6B2C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8CC-4734-8158-8F72E19D6B2C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8CC-4734-8158-8F72E19D6B2C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8CC-4734-8158-8F72E19D6B2C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8CC-4734-8158-8F72E19D6B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'11'!$F$13:$F$27</c15:sqref>
                  </c15:fullRef>
                </c:ext>
              </c:extLst>
              <c:f>'11'!$F$13:$F$21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'11'!$H$13:$H$27</c15:sqref>
                  </c15:fullRef>
                </c:ext>
              </c:extLst>
              <c:f>'11'!$H$13:$H$21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158</c:v>
                </c:pt>
                <c:pt idx="2">
                  <c:v>214</c:v>
                </c:pt>
                <c:pt idx="3">
                  <c:v>506</c:v>
                </c:pt>
                <c:pt idx="4">
                  <c:v>133</c:v>
                </c:pt>
                <c:pt idx="5">
                  <c:v>47</c:v>
                </c:pt>
                <c:pt idx="6">
                  <c:v>234</c:v>
                </c:pt>
                <c:pt idx="7">
                  <c:v>0</c:v>
                </c:pt>
                <c:pt idx="8">
                  <c:v>208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D8CC-4734-8158-8F72E19D6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52602799650043"/>
          <c:y val="0.15505796150481191"/>
          <c:w val="0.81102952755905511"/>
          <c:h val="0.61535469524642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'12'!$B$4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'12'!$A$5:$A$7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'12'!$B$5:$B$7</c:f>
              <c:numCache>
                <c:formatCode>_("zł"* #,##0.00_);_("zł"* \(#,##0.00\);_("zł"* "-"??_);_(@_)</c:formatCode>
                <c:ptCount val="3"/>
                <c:pt idx="0">
                  <c:v>5700</c:v>
                </c:pt>
                <c:pt idx="1">
                  <c:v>3795</c:v>
                </c:pt>
                <c:pt idx="2">
                  <c:v>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4-4578-9E9F-16E938B5554D}"/>
            </c:ext>
          </c:extLst>
        </c:ser>
        <c:ser>
          <c:idx val="1"/>
          <c:order val="1"/>
          <c:tx>
            <c:strRef>
              <c:f>'12'!$C$4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'12'!$A$5:$A$7</c:f>
              <c:strCache>
                <c:ptCount val="3"/>
                <c:pt idx="0">
                  <c:v>Income</c:v>
                </c:pt>
                <c:pt idx="1">
                  <c:v>Expenses</c:v>
                </c:pt>
                <c:pt idx="2">
                  <c:v>Savings</c:v>
                </c:pt>
              </c:strCache>
            </c:strRef>
          </c:cat>
          <c:val>
            <c:numRef>
              <c:f>'12'!$C$5:$C$7</c:f>
              <c:numCache>
                <c:formatCode>_("zł"* #,##0.00_);_("zł"* \(#,##0.00\);_("zł"* "-"??_);_(@_)</c:formatCode>
                <c:ptCount val="3"/>
                <c:pt idx="0">
                  <c:v>5655.5</c:v>
                </c:pt>
                <c:pt idx="1">
                  <c:v>4810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04-4578-9E9F-16E938B5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735280"/>
        <c:axId val="43735760"/>
      </c:barChart>
      <c:catAx>
        <c:axId val="4373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760"/>
        <c:crosses val="autoZero"/>
        <c:auto val="1"/>
        <c:lblAlgn val="ctr"/>
        <c:lblOffset val="100"/>
        <c:noMultiLvlLbl val="0"/>
      </c:catAx>
      <c:valAx>
        <c:axId val="437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37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Income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0.26308096103371692"/>
          <c:y val="0.21047346199323552"/>
          <c:w val="0.44057382640059806"/>
          <c:h val="0.68249911327524171"/>
        </c:manualLayout>
      </c:layout>
      <c:doughnutChart>
        <c:varyColors val="1"/>
        <c:ser>
          <c:idx val="0"/>
          <c:order val="0"/>
          <c:tx>
            <c:strRef>
              <c:f>'12'!$B$12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ABD-4C0E-98D1-23C17FC1977C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ABD-4C0E-98D1-23C17FC1977C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ABD-4C0E-98D1-23C17FC1977C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ABD-4C0E-98D1-23C17FC1977C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ABD-4C0E-98D1-23C17FC1977C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ABD-4C0E-98D1-23C17FC1977C}"/>
              </c:ext>
            </c:extLst>
          </c:dPt>
          <c:dLbls>
            <c:dLbl>
              <c:idx val="0"/>
              <c:layout>
                <c:manualLayout>
                  <c:x val="0.13168722146281367"/>
                  <c:y val="-6.8938478206533663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BD-4C0E-98D1-23C17FC1977C}"/>
                </c:ext>
              </c:extLst>
            </c:dLbl>
            <c:dLbl>
              <c:idx val="1"/>
              <c:layout>
                <c:manualLayout>
                  <c:x val="0.26543205576098383"/>
                  <c:y val="2.820210472085456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BD-4C0E-98D1-23C17FC1977C}"/>
                </c:ext>
              </c:extLst>
            </c:dLbl>
            <c:dLbl>
              <c:idx val="2"/>
              <c:layout>
                <c:manualLayout>
                  <c:x val="0.34156373066917295"/>
                  <c:y val="-9.4007015736182378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ABD-4C0E-98D1-23C17FC1977C}"/>
                </c:ext>
              </c:extLst>
            </c:dLbl>
            <c:dLbl>
              <c:idx val="3"/>
              <c:layout>
                <c:manualLayout>
                  <c:x val="-0.23456786323063686"/>
                  <c:y val="-8.46063141625640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ABD-4C0E-98D1-23C17FC1977C}"/>
                </c:ext>
              </c:extLst>
            </c:dLbl>
            <c:dLbl>
              <c:idx val="4"/>
              <c:layout>
                <c:manualLayout>
                  <c:x val="-0.16666663966387354"/>
                  <c:y val="-0.12534268764824308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ABD-4C0E-98D1-23C17FC1977C}"/>
                </c:ext>
              </c:extLst>
            </c:dLbl>
            <c:dLbl>
              <c:idx val="5"/>
              <c:layout>
                <c:manualLayout>
                  <c:x val="-0.23456786323063686"/>
                  <c:y val="-2.506853752964863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ABD-4C0E-98D1-23C17FC19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'12'!$A$13:$A$26</c15:sqref>
                  </c15:fullRef>
                </c:ext>
              </c:extLst>
              <c:f>'12'!$A$13:$A$18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'12'!$B$13:$B$27</c15:sqref>
                  </c15:fullRef>
                </c:ext>
              </c:extLst>
              <c:f>'12'!$B$13:$B$18</c:f>
              <c:numCache>
                <c:formatCode>_("zł"* #,##0.00_);_("zł"* \(#,##0.00\);_("zł"* "-"??_);_(@_)</c:formatCode>
                <c:ptCount val="6"/>
                <c:pt idx="0">
                  <c:v>2500</c:v>
                </c:pt>
                <c:pt idx="1">
                  <c:v>300</c:v>
                </c:pt>
                <c:pt idx="2">
                  <c:v>500</c:v>
                </c:pt>
                <c:pt idx="3">
                  <c:v>100</c:v>
                </c:pt>
                <c:pt idx="4">
                  <c:v>1500</c:v>
                </c:pt>
                <c:pt idx="5">
                  <c:v>800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C-BABD-4C0E-98D1-23C17FC1977C}"/>
            </c:ext>
          </c:extLst>
        </c:ser>
        <c:ser>
          <c:idx val="1"/>
          <c:order val="1"/>
          <c:tx>
            <c:strRef>
              <c:f>'12'!$C$12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BABD-4C0E-98D1-23C17FC1977C}"/>
              </c:ext>
            </c:extLst>
          </c:dPt>
          <c:dPt>
            <c:idx val="1"/>
            <c:bubble3D val="0"/>
            <c:spPr>
              <a:solidFill>
                <a:schemeClr val="accent5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BABD-4C0E-98D1-23C17FC1977C}"/>
              </c:ext>
            </c:extLst>
          </c:dPt>
          <c:dPt>
            <c:idx val="2"/>
            <c:bubble3D val="0"/>
            <c:spPr>
              <a:solidFill>
                <a:schemeClr val="accent5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BABD-4C0E-98D1-23C17FC1977C}"/>
              </c:ext>
            </c:extLst>
          </c:dPt>
          <c:dPt>
            <c:idx val="3"/>
            <c:bubble3D val="0"/>
            <c:spPr>
              <a:solidFill>
                <a:schemeClr val="accent5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BABD-4C0E-98D1-23C17FC1977C}"/>
              </c:ext>
            </c:extLst>
          </c:dPt>
          <c:dPt>
            <c:idx val="4"/>
            <c:bubble3D val="0"/>
            <c:spPr>
              <a:solidFill>
                <a:schemeClr val="accent5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BABD-4C0E-98D1-23C17FC1977C}"/>
              </c:ext>
            </c:extLst>
          </c:dPt>
          <c:dPt>
            <c:idx val="5"/>
            <c:bubble3D val="0"/>
            <c:spPr>
              <a:solidFill>
                <a:schemeClr val="accent5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BABD-4C0E-98D1-23C17FC1977C}"/>
              </c:ext>
            </c:extLst>
          </c:dPt>
          <c:dLbls>
            <c:dLbl>
              <c:idx val="0"/>
              <c:layout>
                <c:manualLayout>
                  <c:x val="0.26337444292562751"/>
                  <c:y val="-0.1096748516922126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ABD-4C0E-98D1-23C17FC1977C}"/>
                </c:ext>
              </c:extLst>
            </c:dLbl>
            <c:dLbl>
              <c:idx val="1"/>
              <c:layout>
                <c:manualLayout>
                  <c:x val="-6.1728385060693905E-2"/>
                  <c:y val="-0.1128084188834187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ABD-4C0E-98D1-23C17FC1977C}"/>
                </c:ext>
              </c:extLst>
            </c:dLbl>
            <c:dLbl>
              <c:idx val="2"/>
              <c:layout>
                <c:manualLayout>
                  <c:x val="0.16049380115780415"/>
                  <c:y val="-4.073637348567898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ABD-4C0E-98D1-23C17FC1977C}"/>
                </c:ext>
              </c:extLst>
            </c:dLbl>
            <c:dLbl>
              <c:idx val="3"/>
              <c:layout>
                <c:manualLayout>
                  <c:x val="0.15843618832244769"/>
                  <c:y val="-3.446923910326685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ABD-4C0E-98D1-23C17FC1977C}"/>
                </c:ext>
              </c:extLst>
            </c:dLbl>
            <c:dLbl>
              <c:idx val="4"/>
              <c:layout>
                <c:manualLayout>
                  <c:x val="-0.15843618832244769"/>
                  <c:y val="7.2072045397739731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ABD-4C0E-98D1-23C17FC1977C}"/>
                </c:ext>
              </c:extLst>
            </c:dLbl>
            <c:dLbl>
              <c:idx val="5"/>
              <c:layout>
                <c:manualLayout>
                  <c:x val="-0.23662547606599332"/>
                  <c:y val="-8.4606314162564047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ABD-4C0E-98D1-23C17FC197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'12'!$A$13:$A$26</c15:sqref>
                  </c15:fullRef>
                </c:ext>
              </c:extLst>
              <c:f>'12'!$A$13:$A$18</c:f>
              <c:strCache>
                <c:ptCount val="6"/>
                <c:pt idx="0">
                  <c:v>Allowance</c:v>
                </c:pt>
                <c:pt idx="1">
                  <c:v>Financial</c:v>
                </c:pt>
                <c:pt idx="2">
                  <c:v>Gift</c:v>
                </c:pt>
                <c:pt idx="3">
                  <c:v>Other incoms</c:v>
                </c:pt>
                <c:pt idx="4">
                  <c:v>Salary</c:v>
                </c:pt>
                <c:pt idx="5">
                  <c:v>Scholarship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'12'!$C$13:$C$27</c15:sqref>
                  </c15:fullRef>
                </c:ext>
              </c:extLst>
              <c:f>'12'!$C$13:$C$18</c:f>
              <c:numCache>
                <c:formatCode>_("zł"* #,##0.00_);_("zł"* \(#,##0.00\);_("zł"*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2000</c:v>
                </c:pt>
                <c:pt idx="3">
                  <c:v>0</c:v>
                </c:pt>
                <c:pt idx="4">
                  <c:v>4500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9-BABD-4C0E-98D1-23C17FC19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Expenses</a:t>
            </a:r>
            <a:r>
              <a:rPr lang="pl-PL" baseline="0"/>
              <a:t> structure</a:t>
            </a:r>
            <a:endParaRPr lang="pl-P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'12'!$G$12</c:f>
              <c:strCache>
                <c:ptCount val="1"/>
                <c:pt idx="0">
                  <c:v>Planned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27-4B08-BDA8-29D90DC31155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E27-4B08-BDA8-29D90DC31155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E27-4B08-BDA8-29D90DC31155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E27-4B08-BDA8-29D90DC31155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E27-4B08-BDA8-29D90DC31155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E27-4B08-BDA8-29D90DC31155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1E27-4B08-BDA8-29D90DC31155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1E27-4B08-BDA8-29D90DC31155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1E27-4B08-BDA8-29D90DC31155}"/>
              </c:ext>
            </c:extLst>
          </c:dPt>
          <c:dLbls>
            <c:dLbl>
              <c:idx val="0"/>
              <c:layout>
                <c:manualLayout>
                  <c:x val="0.25277777777777777"/>
                  <c:y val="-0.21296296296296297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E27-4B08-BDA8-29D90DC31155}"/>
                </c:ext>
              </c:extLst>
            </c:dLbl>
            <c:dLbl>
              <c:idx val="1"/>
              <c:layout>
                <c:manualLayout>
                  <c:x val="0.27500000000000002"/>
                  <c:y val="9.722222222222222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27-4B08-BDA8-29D90DC31155}"/>
                </c:ext>
              </c:extLst>
            </c:dLbl>
            <c:dLbl>
              <c:idx val="2"/>
              <c:layout>
                <c:manualLayout>
                  <c:x val="-0.1111111111111111"/>
                  <c:y val="8.3333333333333329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E27-4B08-BDA8-29D90DC31155}"/>
                </c:ext>
              </c:extLst>
            </c:dLbl>
            <c:dLbl>
              <c:idx val="3"/>
              <c:layout>
                <c:manualLayout>
                  <c:x val="-0.13333333333333333"/>
                  <c:y val="0.1111111111111110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27-4B08-BDA8-29D90DC31155}"/>
                </c:ext>
              </c:extLst>
            </c:dLbl>
            <c:dLbl>
              <c:idx val="4"/>
              <c:layout>
                <c:manualLayout>
                  <c:x val="-0.14166666666666669"/>
                  <c:y val="0.175925925925925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27-4B08-BDA8-29D90DC31155}"/>
                </c:ext>
              </c:extLst>
            </c:dLbl>
            <c:dLbl>
              <c:idx val="5"/>
              <c:layout>
                <c:manualLayout>
                  <c:x val="-0.26944444444444443"/>
                  <c:y val="0.10185185185185185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27-4B08-BDA8-29D90DC31155}"/>
                </c:ext>
              </c:extLst>
            </c:dLbl>
            <c:dLbl>
              <c:idx val="6"/>
              <c:layout>
                <c:manualLayout>
                  <c:x val="-0.26666666666666666"/>
                  <c:y val="-0.17129629629629631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27-4B08-BDA8-29D90DC31155}"/>
                </c:ext>
              </c:extLst>
            </c:dLbl>
            <c:dLbl>
              <c:idx val="7"/>
              <c:layout>
                <c:manualLayout>
                  <c:x val="-0.19166666666666668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27-4B08-BDA8-29D90DC31155}"/>
                </c:ext>
              </c:extLst>
            </c:dLbl>
            <c:dLbl>
              <c:idx val="8"/>
              <c:layout>
                <c:manualLayout>
                  <c:x val="0.25833333333333336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27-4B08-BDA8-29D90DC311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'12'!$F$13:$F$27</c15:sqref>
                  </c15:fullRef>
                </c:ext>
              </c:extLst>
              <c:f>'12'!$F$13:$F$21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'12'!$G$13:$G$27</c15:sqref>
                  </c15:fullRef>
                </c:ext>
              </c:extLst>
              <c:f>'12'!$G$13:$G$21</c:f>
              <c:numCache>
                <c:formatCode>_("zł"* #,##0.00_);_("zł"* \(#,##0.00\);_("zł"* "-"??_);_(@_)</c:formatCode>
                <c:ptCount val="9"/>
                <c:pt idx="0">
                  <c:v>1735</c:v>
                </c:pt>
                <c:pt idx="1">
                  <c:v>200</c:v>
                </c:pt>
                <c:pt idx="2">
                  <c:v>300</c:v>
                </c:pt>
                <c:pt idx="3">
                  <c:v>750</c:v>
                </c:pt>
                <c:pt idx="4">
                  <c:v>130</c:v>
                </c:pt>
                <c:pt idx="5">
                  <c:v>130</c:v>
                </c:pt>
                <c:pt idx="6">
                  <c:v>200</c:v>
                </c:pt>
                <c:pt idx="7">
                  <c:v>200</c:v>
                </c:pt>
                <c:pt idx="8">
                  <c:v>150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1E27-4B08-BDA8-29D90DC31155}"/>
            </c:ext>
          </c:extLst>
        </c:ser>
        <c:ser>
          <c:idx val="1"/>
          <c:order val="1"/>
          <c:tx>
            <c:strRef>
              <c:f>'12'!$H$12</c:f>
              <c:strCache>
                <c:ptCount val="1"/>
                <c:pt idx="0">
                  <c:v>Actual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shade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1E27-4B08-BDA8-29D90DC31155}"/>
              </c:ext>
            </c:extLst>
          </c:dPt>
          <c:dPt>
            <c:idx val="1"/>
            <c:bubble3D val="0"/>
            <c:spPr>
              <a:solidFill>
                <a:schemeClr val="accent3">
                  <a:shade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1E27-4B08-BDA8-29D90DC31155}"/>
              </c:ext>
            </c:extLst>
          </c:dPt>
          <c:dPt>
            <c:idx val="2"/>
            <c:bubble3D val="0"/>
            <c:spPr>
              <a:solidFill>
                <a:schemeClr val="accent3">
                  <a:shade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1E27-4B08-BDA8-29D90DC31155}"/>
              </c:ext>
            </c:extLst>
          </c:dPt>
          <c:dPt>
            <c:idx val="3"/>
            <c:bubble3D val="0"/>
            <c:spPr>
              <a:solidFill>
                <a:schemeClr val="accent3">
                  <a:shade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1E27-4B08-BDA8-29D90DC31155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1E27-4B08-BDA8-29D90DC31155}"/>
              </c:ext>
            </c:extLst>
          </c:dPt>
          <c:dPt>
            <c:idx val="5"/>
            <c:bubble3D val="0"/>
            <c:spPr>
              <a:solidFill>
                <a:schemeClr val="accent3">
                  <a:tint val="8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1E27-4B08-BDA8-29D90DC31155}"/>
              </c:ext>
            </c:extLst>
          </c:dPt>
          <c:dPt>
            <c:idx val="6"/>
            <c:bubble3D val="0"/>
            <c:spPr>
              <a:solidFill>
                <a:schemeClr val="accent3">
                  <a:tint val="7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1E27-4B08-BDA8-29D90DC31155}"/>
              </c:ext>
            </c:extLst>
          </c:dPt>
          <c:dPt>
            <c:idx val="7"/>
            <c:bubble3D val="0"/>
            <c:spPr>
              <a:solidFill>
                <a:schemeClr val="accent3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1E27-4B08-BDA8-29D90DC31155}"/>
              </c:ext>
            </c:extLst>
          </c:dPt>
          <c:dPt>
            <c:idx val="8"/>
            <c:bubble3D val="0"/>
            <c:spPr>
              <a:solidFill>
                <a:schemeClr val="accent3">
                  <a:tint val="4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1E27-4B08-BDA8-29D90DC31155}"/>
              </c:ext>
            </c:extLst>
          </c:dPt>
          <c:dLbls>
            <c:dLbl>
              <c:idx val="0"/>
              <c:layout>
                <c:manualLayout>
                  <c:x val="0.16944444444444445"/>
                  <c:y val="9.2592592592592587E-3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27-4B08-BDA8-29D90DC31155}"/>
                </c:ext>
              </c:extLst>
            </c:dLbl>
            <c:dLbl>
              <c:idx val="1"/>
              <c:layout>
                <c:manualLayout>
                  <c:x val="0.17499999999999999"/>
                  <c:y val="-2.7777777777777776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27-4B08-BDA8-29D90DC31155}"/>
                </c:ext>
              </c:extLst>
            </c:dLbl>
            <c:dLbl>
              <c:idx val="2"/>
              <c:layout>
                <c:manualLayout>
                  <c:x val="0.26666666666666666"/>
                  <c:y val="-0.21759259259259259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27-4B08-BDA8-29D90DC31155}"/>
                </c:ext>
              </c:extLst>
            </c:dLbl>
            <c:dLbl>
              <c:idx val="3"/>
              <c:layout>
                <c:manualLayout>
                  <c:x val="-0.17499999999999999"/>
                  <c:y val="0.11574074074074074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27-4B08-BDA8-29D90DC31155}"/>
                </c:ext>
              </c:extLst>
            </c:dLbl>
            <c:dLbl>
              <c:idx val="4"/>
              <c:layout>
                <c:manualLayout>
                  <c:x val="-8.8888888888888892E-2"/>
                  <c:y val="1.8518518518518434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E27-4B08-BDA8-29D90DC31155}"/>
                </c:ext>
              </c:extLst>
            </c:dLbl>
            <c:dLbl>
              <c:idx val="5"/>
              <c:layout>
                <c:manualLayout>
                  <c:x val="-0.24444444444444444"/>
                  <c:y val="-5.555555555555555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E27-4B08-BDA8-29D90DC31155}"/>
                </c:ext>
              </c:extLst>
            </c:dLbl>
            <c:dLbl>
              <c:idx val="6"/>
              <c:layout>
                <c:manualLayout>
                  <c:x val="-4.6089039629059698E-2"/>
                  <c:y val="-0.11111125186775266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E27-4B08-BDA8-29D90DC31155}"/>
                </c:ext>
              </c:extLst>
            </c:dLbl>
            <c:dLbl>
              <c:idx val="7"/>
              <c:layout>
                <c:manualLayout>
                  <c:x val="0.19166666666666668"/>
                  <c:y val="-7.870370370370372E-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E27-4B08-BDA8-29D90DC31155}"/>
                </c:ext>
              </c:extLst>
            </c:dLbl>
            <c:dLbl>
              <c:idx val="8"/>
              <c:layout>
                <c:manualLayout>
                  <c:x val="0.40277777777777779"/>
                  <c:y val="-0.14351851851851852"/>
                </c:manualLayout>
              </c:layout>
              <c:showLegendKey val="0"/>
              <c:showVal val="0"/>
              <c:showCatName val="1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E27-4B08-BDA8-29D90DC311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'12'!$F$13:$F$27</c15:sqref>
                  </c15:fullRef>
                </c:ext>
              </c:extLst>
              <c:f>'12'!$F$13:$F$21</c:f>
              <c:strCache>
                <c:ptCount val="9"/>
                <c:pt idx="0">
                  <c:v>Accomodation</c:v>
                </c:pt>
                <c:pt idx="1">
                  <c:v>Clothing</c:v>
                </c:pt>
                <c:pt idx="2">
                  <c:v>Entertainment</c:v>
                </c:pt>
                <c:pt idx="3">
                  <c:v>Groceries</c:v>
                </c:pt>
                <c:pt idx="4">
                  <c:v>Health&amp;Beauty</c:v>
                </c:pt>
                <c:pt idx="5">
                  <c:v>Multimedia</c:v>
                </c:pt>
                <c:pt idx="6">
                  <c:v>Other expences</c:v>
                </c:pt>
                <c:pt idx="7">
                  <c:v>Studies</c:v>
                </c:pt>
                <c:pt idx="8">
                  <c:v>Transportation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'12'!$H$13:$H$27</c15:sqref>
                  </c15:fullRef>
                </c:ext>
              </c:extLst>
              <c:f>'12'!$H$13:$H$21</c:f>
              <c:numCache>
                <c:formatCode>_("zł"* #,##0.00_);_("zł"* \(#,##0.00\);_("zł"* "-"??_);_(@_)</c:formatCode>
                <c:ptCount val="9"/>
                <c:pt idx="0">
                  <c:v>2000</c:v>
                </c:pt>
                <c:pt idx="1">
                  <c:v>120</c:v>
                </c:pt>
                <c:pt idx="2">
                  <c:v>450</c:v>
                </c:pt>
                <c:pt idx="3">
                  <c:v>700</c:v>
                </c:pt>
                <c:pt idx="4">
                  <c:v>10</c:v>
                </c:pt>
                <c:pt idx="5">
                  <c:v>0</c:v>
                </c:pt>
                <c:pt idx="6">
                  <c:v>700</c:v>
                </c:pt>
                <c:pt idx="7">
                  <c:v>100</c:v>
                </c:pt>
                <c:pt idx="8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5-1E27-4B08-BDA8-29D90DC31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0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3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8D89E7-0D68-67F9-E262-62C6AEAB1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8D0A34-1D22-73E5-19F8-37ACB25557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037D2CF-3CEE-13AE-F7B2-59049BE7B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72ECC8-DB4C-4B3C-9E2D-BFEB753B46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06FA71-3494-49E0-8023-5A56FBCDE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A59FBB-25A6-4C08-AD9E-A0CBC52A3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8BCB36-CA34-478C-9948-F943DA3F3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855476-58E7-4D50-BD64-AC713E7C5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622423-6401-4C5B-B827-7ECBFBC43B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D70A5C-1DB0-42F0-8763-9843B559F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1AA02-DA52-4A7A-9AED-BCE30C3D48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1B45A6-03F1-42CE-9D9F-4704BA2CD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05892F-7BBC-4114-B686-FFBC58DBD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74725FB-3159-4904-8ADB-343CD6F656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CCBBE7-B500-4A71-9DF9-FBE2D61283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7C6B85-97F4-4B7B-B1AF-DEEAAA937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61ADEA-84FE-431B-A910-2BD2C468BA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26B7FA-6240-4484-A430-3573E6AE08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97C7EE-0C71-491E-95CD-411C61D77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80A0EF-FD61-48D6-9007-410BA1A7B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3C07CB-5A11-4993-9934-DA5653749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D84FD-BE42-49DB-B893-E9F8D034E5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42D050-CFE9-465C-BDC6-7D15C5E2F1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14E8AE5-5C8E-4E40-86F5-98CD79650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D752D6-2039-4FD3-8795-A9CD13954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4F0F78-D057-477E-9229-B83F29212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7BE9D13-E643-4793-A3F5-C468667F93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7FB8A1-5E87-4C60-81A0-46E1B923EB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D9CA63-2F54-443D-AAFE-EC1186110A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ACEC18A-1F4E-4B22-A8CB-F0EEA6107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C255DC-C667-444B-8185-72D7C2F8E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6CD821E-3804-4741-900E-0A2DE2CE15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FC2DE3-80F6-479C-9592-6AACFC259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10</xdr:col>
      <xdr:colOff>9525</xdr:colOff>
      <xdr:row>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5342AD-A08C-4BBC-B5C1-CA731F938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28</xdr:row>
      <xdr:rowOff>52387</xdr:rowOff>
    </xdr:from>
    <xdr:to>
      <xdr:col>5</xdr:col>
      <xdr:colOff>609600</xdr:colOff>
      <xdr:row>43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F499C2-7CF6-40E8-9CC4-3271D5953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981074</xdr:colOff>
      <xdr:row>28</xdr:row>
      <xdr:rowOff>23812</xdr:rowOff>
    </xdr:from>
    <xdr:to>
      <xdr:col>11</xdr:col>
      <xdr:colOff>619124</xdr:colOff>
      <xdr:row>43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195F879-0610-4F71-9DE5-DC6ED65D5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DB2F6C-7786-4F5A-BD6B-15E8FCB02A90}" name="Income_1" displayName="Income_1" ref="A12:D28" totalsRowCount="1" headerRowDxfId="703" dataDxfId="702" totalsRowDxfId="700" tableBorderDxfId="701" dataCellStyle="Currency">
  <autoFilter ref="A12:D27" xr:uid="{CCDB2F6C-7786-4F5A-BD6B-15E8FCB02A90}"/>
  <tableColumns count="4">
    <tableColumn id="1" xr3:uid="{FF95C400-75C4-455F-9228-494655A1AE12}" name="Source" totalsRowLabel="Total" totalsRowDxfId="122"/>
    <tableColumn id="2" xr3:uid="{713C6FE6-C3C1-4900-8705-CC518AEC9776}" name="Planned" totalsRowFunction="sum" totalsRowDxfId="121" dataCellStyle="Currency"/>
    <tableColumn id="3" xr3:uid="{2B2A9A35-EE56-4C89-874A-A7FA33823485}" name="Actual" totalsRowFunction="sum" dataDxfId="118" totalsRowDxfId="120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57F84D94-B58E-45DD-90BC-88B05BD41D25}" name="Left" totalsRowFunction="sum" totalsRowDxfId="119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8152BE-2900-4DD5-9F45-6684A45F594E}" name="Expenses_1" displayName="Expenses_1" ref="F12:I28" totalsRowCount="1" headerRowDxfId="699" totalsRowDxfId="696" headerRowBorderDxfId="698" tableBorderDxfId="697" totalsRowBorderDxfId="695" totalsRowCellStyle="Currency">
  <autoFilter ref="F12:I27" xr:uid="{E08152BE-2900-4DD5-9F45-6684A45F594E}"/>
  <tableColumns count="4">
    <tableColumn id="1" xr3:uid="{76D6CBDC-3548-4801-AB70-B3DE8F0566BF}" name="Category" totalsRowLabel="Total" dataDxfId="694" totalsRowDxfId="117"/>
    <tableColumn id="2" xr3:uid="{2AB8D20A-BC55-4CE9-85C7-DC1C64EE27C2}" name="Planned" totalsRowFunction="sum" dataDxfId="693" totalsRowDxfId="116" dataCellStyle="Currency" totalsRowCellStyle="Currency"/>
    <tableColumn id="3" xr3:uid="{11E89C1A-877F-45DB-BA1E-54843423EECB}" name="Actual" totalsRowFunction="sum" dataDxfId="692" totalsRowDxfId="115" dataCellStyle="Currency" totalsRowCellStyle="Currency"/>
    <tableColumn id="4" xr3:uid="{5A526CDE-BEB1-4DDC-8678-6F4C58B8F391}" name="Left" totalsRowFunction="sum" dataDxfId="691" totalsRowDxfId="114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A78553-F26A-4156-B389-E3490B0285C3}" name="Bills_1" displayName="Bills_1" ref="K12:N28" totalsRowCount="1" headerRowDxfId="690" totalsRowDxfId="687" headerRowBorderDxfId="689" tableBorderDxfId="688" totalsRowBorderDxfId="686" totalsRowCellStyle="Currency">
  <autoFilter ref="K12:N27" xr:uid="{12A78553-F26A-4156-B389-E3490B0285C3}"/>
  <tableColumns count="4">
    <tableColumn id="1" xr3:uid="{340BD386-D8EE-4E53-AAF1-CB1FF3832736}" name="Bill" totalsRowLabel="Total" dataDxfId="685" totalsRowDxfId="684"/>
    <tableColumn id="2" xr3:uid="{7601631A-850B-4765-8765-243E4352005E}" name="Due" dataDxfId="683" totalsRowDxfId="682"/>
    <tableColumn id="3" xr3:uid="{8C9B053A-E034-4902-B59E-2D91C8847714}" name="Planned" totalsRowFunction="sum" dataDxfId="681" totalsRowDxfId="680" dataCellStyle="Currency" totalsRowCellStyle="Currency"/>
    <tableColumn id="4" xr3:uid="{4B763182-A373-46C3-B9B5-FAF30EB66181}" name="Actual" totalsRowFunction="count" dataDxfId="679" totalsRowDxfId="678" dataCellStyle="Currency" totalsRowCellStyle="Currency"/>
  </tableColumns>
  <tableStyleInfo name="TableBlank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768D804-E5D1-47C3-99B5-E513C4A38C79}" name="Subscriptions_1" displayName="Subscriptions_1" ref="P12:S28" totalsRowCount="1" headerRowDxfId="677" totalsRowDxfId="674" headerRowBorderDxfId="676" tableBorderDxfId="675" totalsRowBorderDxfId="673" totalsRowCellStyle="Currency">
  <autoFilter ref="P12:S27" xr:uid="{8768D804-E5D1-47C3-99B5-E513C4A38C79}"/>
  <tableColumns count="4">
    <tableColumn id="1" xr3:uid="{5A4AFE03-14DF-4CE6-A22C-F3E947D7A241}" name="Service" totalsRowLabel="Total" dataDxfId="672" totalsRowDxfId="671"/>
    <tableColumn id="2" xr3:uid="{D363C9BD-8FD3-4065-8700-D4F7306291D8}" name="Due" dataDxfId="670" totalsRowDxfId="669"/>
    <tableColumn id="3" xr3:uid="{CA7CA87D-5B70-41DA-80E8-17A04E511A7C}" name="Planned" totalsRowFunction="sum" dataDxfId="668" totalsRowDxfId="667" dataCellStyle="Currency" totalsRowCellStyle="Currency"/>
    <tableColumn id="4" xr3:uid="{2962D119-A139-46EB-BF06-0EDC4BB88B8D}" name="Actual" totalsRowFunction="sum" dataDxfId="666" totalsRowDxfId="665" dataCellStyle="Currency" totalsRowCellStyle="Currency"/>
  </tableColumns>
  <tableStyleInfo name="TableBlank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88D960D-91F3-4FEE-9763-13933AC657BA}" name="Savings_1" displayName="Savings_1" ref="U12:X28" totalsRowCount="1" headerRowDxfId="664" totalsRowDxfId="661" headerRowBorderDxfId="663" tableBorderDxfId="662" totalsRowBorderDxfId="660" totalsRowCellStyle="Currency">
  <autoFilter ref="U12:X27" xr:uid="{A88D960D-91F3-4FEE-9763-13933AC657BA}"/>
  <tableColumns count="4">
    <tableColumn id="1" xr3:uid="{CBDB352C-3FE8-4C98-AC84-C52DF0DE4AA6}" name="Aim" totalsRowLabel="Total" dataDxfId="659" totalsRowDxfId="658"/>
    <tableColumn id="2" xr3:uid="{2751F8FF-C539-46B0-86D3-C03CAB8FAC1F}" name="Planned" totalsRowFunction="sum" dataDxfId="657" totalsRowDxfId="656" dataCellStyle="Currency" totalsRowCellStyle="Currency"/>
    <tableColumn id="3" xr3:uid="{5F0120CC-6DC3-4E14-B842-C7F7DAC972F0}" name="Actual" totalsRowFunction="sum" dataDxfId="655" totalsRowDxfId="654" dataCellStyle="Currency" totalsRowCellStyle="Currency"/>
    <tableColumn id="4" xr3:uid="{13E93E7E-9DD4-4BF7-8BFB-776DBF2A3C17}" name="Left" totalsRowFunction="sum" dataDxfId="653" totalsRowDxfId="652" dataCellStyle="Currency" totalsRowCellStyle="Currency">
      <calculatedColumnFormula>Savings_1[[#This Row],[Planned]]-Savings_1[[#This Row],[Actual]]</calculatedColumnFormula>
    </tableColumn>
  </tableColumns>
  <tableStyleInfo name="TableBlank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54B2E3D-6636-46ED-9B42-A7ED1F0243E4}" name="Income_2" displayName="Income_2" ref="A12:D28" totalsRowCount="1" headerRowDxfId="651" dataDxfId="650" totalsRowDxfId="648" tableBorderDxfId="649" dataCellStyle="Currency">
  <autoFilter ref="A12:D27" xr:uid="{CCDB2F6C-7786-4F5A-BD6B-15E8FCB02A90}"/>
  <tableColumns count="4">
    <tableColumn id="1" xr3:uid="{DEFC1C1E-EF97-4CE6-8002-BA7F1AAF14C4}" name="Source" totalsRowLabel="Total" totalsRowDxfId="113"/>
    <tableColumn id="2" xr3:uid="{251013CE-2BB9-483A-937B-642DF7C75CEC}" name="Planned" totalsRowFunction="sum" totalsRowDxfId="112" dataCellStyle="Currency"/>
    <tableColumn id="3" xr3:uid="{AF092AE3-6C36-4ACC-A2E2-A7A3790B3146}" name="Actual" totalsRowFunction="sum" dataDxfId="109" totalsRowDxfId="111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76DC70AF-3E4C-4B9F-8D44-D4DF7B27BCEF}" name="Left" totalsRowFunction="sum" totalsRowDxfId="110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6664A35-42D6-4F51-9436-A8DF08F4D4A6}" name="Expenses_2" displayName="Expenses_2" ref="F12:I28" totalsRowCount="1" headerRowDxfId="647" totalsRowDxfId="644" headerRowBorderDxfId="646" tableBorderDxfId="645" totalsRowBorderDxfId="643" totalsRowCellStyle="Currency">
  <autoFilter ref="F12:I27" xr:uid="{E08152BE-2900-4DD5-9F45-6684A45F594E}"/>
  <tableColumns count="4">
    <tableColumn id="1" xr3:uid="{D5B5314A-BDCC-486B-9C4B-16FD5151AD77}" name="Category" totalsRowLabel="Total" dataDxfId="642" totalsRowDxfId="108"/>
    <tableColumn id="2" xr3:uid="{730FEE10-5ED9-4AFB-9976-61C94BF5EC47}" name="Planned" totalsRowFunction="sum" dataDxfId="641" totalsRowDxfId="107" dataCellStyle="Currency" totalsRowCellStyle="Currency"/>
    <tableColumn id="3" xr3:uid="{86EBF417-65B0-4200-9591-7C625C61994B}" name="Actual" totalsRowFunction="sum" dataDxfId="640" totalsRowDxfId="106" dataCellStyle="Currency" totalsRowCellStyle="Currency"/>
    <tableColumn id="4" xr3:uid="{44F66BA3-052A-4C94-9516-65A596184737}" name="Left" totalsRowFunction="sum" dataDxfId="639" totalsRowDxfId="105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6C9D271-CDF9-4B56-9488-43E1250626D5}" name="Bills_2" displayName="Bills_2" ref="K12:N28" totalsRowCount="1" headerRowDxfId="638" totalsRowDxfId="635" headerRowBorderDxfId="637" tableBorderDxfId="636" totalsRowBorderDxfId="634" totalsRowCellStyle="Currency">
  <autoFilter ref="K12:N27" xr:uid="{12A78553-F26A-4156-B389-E3490B0285C3}"/>
  <tableColumns count="4">
    <tableColumn id="1" xr3:uid="{2684BB37-11FB-4ABA-B1EF-2D8E548D7120}" name="Bill" totalsRowLabel="Total" dataDxfId="633" totalsRowDxfId="632"/>
    <tableColumn id="2" xr3:uid="{3ED24807-E94D-4570-997F-5D60F11920DC}" name="Due" dataDxfId="631" totalsRowDxfId="630"/>
    <tableColumn id="3" xr3:uid="{B314418C-E2FD-4C27-BAA7-86B09A995D64}" name="Planned" totalsRowFunction="sum" dataDxfId="629" totalsRowDxfId="628" dataCellStyle="Currency" totalsRowCellStyle="Currency"/>
    <tableColumn id="4" xr3:uid="{B26707BE-EF48-49D3-9762-31732323B578}" name="Actual" totalsRowFunction="count" dataDxfId="627" totalsRowDxfId="626" dataCellStyle="Currency" totalsRowCellStyle="Currency"/>
  </tableColumns>
  <tableStyleInfo name="TableBlank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7DA39CD-0D5A-4DDA-93F5-FAFA53445E13}" name="Subscriptions_2" displayName="Subscriptions_2" ref="P12:S28" totalsRowCount="1" headerRowDxfId="625" totalsRowDxfId="622" headerRowBorderDxfId="624" tableBorderDxfId="623" totalsRowBorderDxfId="621" totalsRowCellStyle="Currency">
  <autoFilter ref="P12:S27" xr:uid="{8768D804-E5D1-47C3-99B5-E513C4A38C79}"/>
  <tableColumns count="4">
    <tableColumn id="1" xr3:uid="{8AFC6687-F519-46BE-8378-12A8BA13DF82}" name="Service" totalsRowLabel="Total" dataDxfId="620" totalsRowDxfId="619"/>
    <tableColumn id="2" xr3:uid="{52F27BBC-330B-44EB-B390-4017385FA445}" name="Due" dataDxfId="618" totalsRowDxfId="617"/>
    <tableColumn id="3" xr3:uid="{F3C96FEE-DDDE-4AB1-98BD-DAB4B696CE34}" name="Planned" totalsRowFunction="sum" dataDxfId="616" totalsRowDxfId="615" dataCellStyle="Currency" totalsRowCellStyle="Currency"/>
    <tableColumn id="4" xr3:uid="{E20C84C9-1DDF-4FBE-8FC4-63FDCA3E12B3}" name="Actual" totalsRowFunction="sum" dataDxfId="614" totalsRowDxfId="613" dataCellStyle="Currency" totalsRowCellStyle="Currency"/>
  </tableColumns>
  <tableStyleInfo name="TableBlank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D12B34F-98E3-4E51-843D-311597C9FE3A}" name="Savings_2" displayName="Savings_2" ref="U12:X28" totalsRowCount="1" headerRowDxfId="612" totalsRowDxfId="609" headerRowBorderDxfId="611" tableBorderDxfId="610" totalsRowBorderDxfId="608" totalsRowCellStyle="Currency">
  <autoFilter ref="U12:X27" xr:uid="{A88D960D-91F3-4FEE-9763-13933AC657BA}"/>
  <tableColumns count="4">
    <tableColumn id="1" xr3:uid="{B18BC09C-F21F-457A-BBE9-C5718EFAEB67}" name="Aim" totalsRowLabel="Total" dataDxfId="607" totalsRowDxfId="606"/>
    <tableColumn id="2" xr3:uid="{7D1A4A26-5319-4146-A4F9-80C98ACFCC7C}" name="Planned" totalsRowFunction="sum" dataDxfId="605" totalsRowDxfId="604" dataCellStyle="Currency" totalsRowCellStyle="Currency"/>
    <tableColumn id="3" xr3:uid="{51662E65-CCBD-49C8-A288-C5C44845939F}" name="Actual" totalsRowFunction="sum" dataDxfId="603" totalsRowDxfId="602" dataCellStyle="Currency" totalsRowCellStyle="Currency"/>
    <tableColumn id="4" xr3:uid="{67FD64F3-AC47-4469-80DB-E47FD8586A8C}" name="Left" totalsRowFunction="sum" dataDxfId="601" totalsRowDxfId="600" dataCellStyle="Currency" totalsRowCellStyle="Currency">
      <calculatedColumnFormula>Savings_2[[#This Row],[Planned]]-Savings_2[[#This Row],[Actual]]</calculatedColumnFormula>
    </tableColumn>
  </tableColumns>
  <tableStyleInfo name="TableBlank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FD4FB9F-49A2-4993-A7C4-003BA3E4704D}" name="Income_3" displayName="Income_3" ref="A12:D28" totalsRowCount="1" headerRowDxfId="599" dataDxfId="598" totalsRowDxfId="596" tableBorderDxfId="597" dataCellStyle="Currency">
  <autoFilter ref="A12:D27" xr:uid="{CCDB2F6C-7786-4F5A-BD6B-15E8FCB02A90}"/>
  <tableColumns count="4">
    <tableColumn id="1" xr3:uid="{42C95CB0-7877-4825-8B47-E57961F72740}" name="Source" totalsRowLabel="Total" totalsRowDxfId="104"/>
    <tableColumn id="2" xr3:uid="{67E804E3-5C73-499E-A552-0CA366746893}" name="Planned" totalsRowFunction="sum" totalsRowDxfId="103" dataCellStyle="Currency"/>
    <tableColumn id="3" xr3:uid="{F248E2BA-61E9-4572-953B-EC108E6DC634}" name="Actual" totalsRowFunction="sum" dataDxfId="100" totalsRowDxfId="102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9E920FE2-EE61-4651-9422-F2459B00A2EC}" name="Left" totalsRowFunction="sum" totalsRowDxfId="101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31D5585-024B-495A-8ACF-489652641CCD}" name="Expenses_3" displayName="Expenses_3" ref="F12:I28" totalsRowCount="1" headerRowDxfId="595" totalsRowDxfId="592" headerRowBorderDxfId="594" tableBorderDxfId="593" totalsRowBorderDxfId="591" totalsRowCellStyle="Currency">
  <autoFilter ref="F12:I27" xr:uid="{E08152BE-2900-4DD5-9F45-6684A45F594E}"/>
  <tableColumns count="4">
    <tableColumn id="1" xr3:uid="{445A9A4B-1A72-4AEE-A0B3-D16B2A4BE4B6}" name="Category" totalsRowLabel="Total" dataDxfId="590" totalsRowDxfId="99"/>
    <tableColumn id="2" xr3:uid="{6951B269-474B-4B79-AEB1-9D6112414AD6}" name="Planned" totalsRowFunction="sum" dataDxfId="589" totalsRowDxfId="98" dataCellStyle="Currency" totalsRowCellStyle="Currency"/>
    <tableColumn id="3" xr3:uid="{AA4FEEC3-EED7-4736-ABEA-E68F947BDA89}" name="Actual" totalsRowFunction="sum" dataDxfId="588" totalsRowDxfId="97" dataCellStyle="Currency" totalsRowCellStyle="Currency"/>
    <tableColumn id="4" xr3:uid="{EABB6F5D-C97C-4ADD-927F-8DD39230E6F1}" name="Left" totalsRowFunction="sum" dataDxfId="587" totalsRowDxfId="96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517B6E8-A011-443B-96B0-C8DD61693E20}" name="Bills_3" displayName="Bills_3" ref="K12:N28" totalsRowCount="1" headerRowDxfId="586" totalsRowDxfId="583" headerRowBorderDxfId="585" tableBorderDxfId="584" totalsRowBorderDxfId="582" totalsRowCellStyle="Currency">
  <autoFilter ref="K12:N27" xr:uid="{12A78553-F26A-4156-B389-E3490B0285C3}"/>
  <tableColumns count="4">
    <tableColumn id="1" xr3:uid="{6FFEAF10-55E1-4116-AF16-0E6D4348E011}" name="Bill" totalsRowLabel="Total" dataDxfId="581" totalsRowDxfId="580"/>
    <tableColumn id="2" xr3:uid="{9A0CB119-AE5B-4445-A5C5-1F45CF54CEE8}" name="Due" dataDxfId="579" totalsRowDxfId="578"/>
    <tableColumn id="3" xr3:uid="{3803529A-731E-4102-8215-F0A1B0A9F21F}" name="Planned" totalsRowFunction="sum" dataDxfId="577" totalsRowDxfId="576" dataCellStyle="Currency" totalsRowCellStyle="Currency"/>
    <tableColumn id="4" xr3:uid="{A2258056-2445-44DA-8C69-DD74FBB82D3B}" name="Actual" totalsRowFunction="count" dataDxfId="575" totalsRowDxfId="574" dataCellStyle="Currency" totalsRowCellStyle="Currency"/>
  </tableColumns>
  <tableStyleInfo name="TableBlank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10805F5-59D2-411B-B46C-4658436A240D}" name="Subscriptions_3" displayName="Subscriptions_3" ref="P12:S28" totalsRowCount="1" headerRowDxfId="573" totalsRowDxfId="570" headerRowBorderDxfId="572" tableBorderDxfId="571" totalsRowBorderDxfId="569" totalsRowCellStyle="Currency">
  <autoFilter ref="P12:S27" xr:uid="{8768D804-E5D1-47C3-99B5-E513C4A38C79}"/>
  <tableColumns count="4">
    <tableColumn id="1" xr3:uid="{CB833FD8-E806-4D82-857B-A5D3A3038F2C}" name="Service" totalsRowLabel="Total" dataDxfId="568" totalsRowDxfId="567"/>
    <tableColumn id="2" xr3:uid="{CC2EA9DD-7847-4832-AC83-054608AB96F5}" name="Due" dataDxfId="566" totalsRowDxfId="565"/>
    <tableColumn id="3" xr3:uid="{BA744109-68B6-42B0-9F3E-2CC56A69CF9E}" name="Planned" totalsRowFunction="sum" dataDxfId="564" totalsRowDxfId="563" dataCellStyle="Currency" totalsRowCellStyle="Currency"/>
    <tableColumn id="4" xr3:uid="{A1D4E33C-C9BB-4B89-94BE-1CDD7D8BB7F6}" name="Actual" totalsRowFunction="sum" dataDxfId="562" totalsRowDxfId="561" dataCellStyle="Currency" totalsRowCellStyle="Currency"/>
  </tableColumns>
  <tableStyleInfo name="TableBlank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AEF378A-ED14-4CDA-A0F1-D4F132B8B09B}" name="Savings_3" displayName="Savings_3" ref="U12:X28" totalsRowCount="1" headerRowDxfId="560" totalsRowDxfId="557" headerRowBorderDxfId="559" tableBorderDxfId="558" totalsRowBorderDxfId="556" totalsRowCellStyle="Currency">
  <autoFilter ref="U12:X27" xr:uid="{A88D960D-91F3-4FEE-9763-13933AC657BA}"/>
  <tableColumns count="4">
    <tableColumn id="1" xr3:uid="{360BC941-D438-44C4-9793-03569FBFE243}" name="Aim" totalsRowLabel="Total" dataDxfId="555" totalsRowDxfId="554"/>
    <tableColumn id="2" xr3:uid="{3C4629BB-DDA5-4F70-B55C-219A758B9DFB}" name="Planned" totalsRowFunction="sum" dataDxfId="553" totalsRowDxfId="552" dataCellStyle="Currency" totalsRowCellStyle="Currency"/>
    <tableColumn id="3" xr3:uid="{8AE0E0BE-1972-46F1-A786-8F89B5202934}" name="Actual" totalsRowFunction="sum" dataDxfId="551" totalsRowDxfId="550" dataCellStyle="Currency" totalsRowCellStyle="Currency"/>
    <tableColumn id="4" xr3:uid="{97F04B04-D055-4AF7-AE55-BC3B61487FF0}" name="Left" totalsRowFunction="sum" dataDxfId="549" totalsRowDxfId="548" dataCellStyle="Currency" totalsRowCellStyle="Currency">
      <calculatedColumnFormula>Savings_3[[#This Row],[Planned]]-Savings_3[[#This Row],[Actual]]</calculatedColumnFormula>
    </tableColumn>
  </tableColumns>
  <tableStyleInfo name="TableBlank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A425FE-A68E-4586-9537-38755072D436}" name="Income_4" displayName="Income_4" ref="A12:D28" totalsRowCount="1" headerRowDxfId="547" dataDxfId="546" totalsRowDxfId="544" tableBorderDxfId="545" dataCellStyle="Currency">
  <autoFilter ref="A12:D27" xr:uid="{CCDB2F6C-7786-4F5A-BD6B-15E8FCB02A90}"/>
  <tableColumns count="4">
    <tableColumn id="1" xr3:uid="{28E17DCD-085A-4272-8F82-EB86C6B9D614}" name="Source" totalsRowLabel="Total" totalsRowDxfId="95"/>
    <tableColumn id="2" xr3:uid="{E92D5FFA-BDA3-4058-8741-221DCE8EE90D}" name="Planned" totalsRowFunction="sum" totalsRowDxfId="94" dataCellStyle="Currency"/>
    <tableColumn id="3" xr3:uid="{F241C2D5-7AB8-4B40-A75D-B280E57FF203}" name="Actual" totalsRowFunction="sum" dataDxfId="91" totalsRowDxfId="93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F92C94A9-21EB-411E-900B-D94B2D26CD81}" name="Left" totalsRowFunction="sum" totalsRowDxfId="92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5F6541B-F8BF-477D-993C-02E4C05FF4E0}" name="Expenses_4" displayName="Expenses_4" ref="F12:I28" totalsRowCount="1" headerRowDxfId="543" totalsRowDxfId="540" headerRowBorderDxfId="542" tableBorderDxfId="541" totalsRowBorderDxfId="539" totalsRowCellStyle="Currency">
  <autoFilter ref="F12:I27" xr:uid="{E08152BE-2900-4DD5-9F45-6684A45F594E}"/>
  <tableColumns count="4">
    <tableColumn id="1" xr3:uid="{3D62E2BF-DF1F-48DF-B648-4443229E0E0F}" name="Category" totalsRowLabel="Total" dataDxfId="538" totalsRowDxfId="90"/>
    <tableColumn id="2" xr3:uid="{F0C95896-AFCE-4C40-AFF8-6B7ECF82D1F9}" name="Planned" totalsRowFunction="sum" dataDxfId="537" totalsRowDxfId="89" dataCellStyle="Currency" totalsRowCellStyle="Currency"/>
    <tableColumn id="3" xr3:uid="{219A4BEB-3520-45DA-BDE7-A44D39804795}" name="Actual" totalsRowFunction="sum" dataDxfId="536" totalsRowDxfId="88" dataCellStyle="Currency" totalsRowCellStyle="Currency"/>
    <tableColumn id="4" xr3:uid="{811A7BCC-0291-45D9-80DC-4EBC534C86A7}" name="Left" totalsRowFunction="sum" dataDxfId="535" totalsRowDxfId="87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F3987E8-DCE8-4B9B-9CD6-DA4B481F2E69}" name="Bills_4" displayName="Bills_4" ref="K12:N28" totalsRowCount="1" headerRowDxfId="534" totalsRowDxfId="531" headerRowBorderDxfId="533" tableBorderDxfId="532" totalsRowBorderDxfId="530" totalsRowCellStyle="Currency">
  <autoFilter ref="K12:N27" xr:uid="{12A78553-F26A-4156-B389-E3490B0285C3}"/>
  <tableColumns count="4">
    <tableColumn id="1" xr3:uid="{B4635CAA-B8FF-4B39-8C78-84FC883CA9B4}" name="Bill" totalsRowLabel="Total" dataDxfId="529" totalsRowDxfId="528"/>
    <tableColumn id="2" xr3:uid="{98CBDA09-BB85-43C6-9747-D675F53EAA62}" name="Due" dataDxfId="527" totalsRowDxfId="526"/>
    <tableColumn id="3" xr3:uid="{4768452B-C8A8-42DB-944C-E4386C607FD0}" name="Planned" totalsRowFunction="sum" dataDxfId="525" totalsRowDxfId="524" dataCellStyle="Currency" totalsRowCellStyle="Currency"/>
    <tableColumn id="4" xr3:uid="{6D7F5ACB-A137-47B6-8439-5CFEE31951DE}" name="Actual" totalsRowFunction="count" dataDxfId="523" totalsRowDxfId="522" dataCellStyle="Currency" totalsRowCellStyle="Currency"/>
  </tableColumns>
  <tableStyleInfo name="TableBlank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2AB559F-2923-4D6A-AE37-FBC3A2230E9E}" name="Subscriptions_4" displayName="Subscriptions_4" ref="P12:S28" totalsRowCount="1" headerRowDxfId="521" totalsRowDxfId="518" headerRowBorderDxfId="520" tableBorderDxfId="519" totalsRowBorderDxfId="517" totalsRowCellStyle="Currency">
  <autoFilter ref="P12:S27" xr:uid="{8768D804-E5D1-47C3-99B5-E513C4A38C79}"/>
  <tableColumns count="4">
    <tableColumn id="1" xr3:uid="{D391FCBC-106E-4053-B196-5E6350D185B1}" name="Service" totalsRowLabel="Total" dataDxfId="516" totalsRowDxfId="515"/>
    <tableColumn id="2" xr3:uid="{BE69621C-D867-4258-828C-2B270D15FF9A}" name="Due" dataDxfId="514" totalsRowDxfId="513"/>
    <tableColumn id="3" xr3:uid="{D7CA6DAA-4131-4C2F-B768-CEB0B16A09CE}" name="Planned" totalsRowFunction="sum" dataDxfId="512" totalsRowDxfId="511" dataCellStyle="Currency" totalsRowCellStyle="Currency"/>
    <tableColumn id="4" xr3:uid="{AEC16CD3-EE10-4FA9-A8D8-8FBECC438ED9}" name="Actual" totalsRowFunction="sum" dataDxfId="510" totalsRowDxfId="509" dataCellStyle="Currency" totalsRowCellStyle="Currency"/>
  </tableColumns>
  <tableStyleInfo name="TableBlank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8F22914-415E-481F-8E36-78C2FCEE78E6}" name="Savings_4" displayName="Savings_4" ref="U12:X28" totalsRowCount="1" headerRowDxfId="508" totalsRowDxfId="505" headerRowBorderDxfId="507" tableBorderDxfId="506" totalsRowBorderDxfId="504" totalsRowCellStyle="Currency">
  <autoFilter ref="U12:X27" xr:uid="{A88D960D-91F3-4FEE-9763-13933AC657BA}"/>
  <tableColumns count="4">
    <tableColumn id="1" xr3:uid="{24DF933F-99E8-43A6-A6BD-2EFE9FF8D48D}" name="Aim" totalsRowLabel="Total" dataDxfId="503" totalsRowDxfId="502"/>
    <tableColumn id="2" xr3:uid="{EA4DDC2E-53B0-41F9-A3ED-1BDE3AC317FB}" name="Planned" totalsRowFunction="sum" dataDxfId="501" totalsRowDxfId="500" dataCellStyle="Currency" totalsRowCellStyle="Currency"/>
    <tableColumn id="3" xr3:uid="{5ECF81A7-021C-4AC9-AE02-57A5598810A8}" name="Actual" totalsRowFunction="sum" dataDxfId="499" totalsRowDxfId="498" dataCellStyle="Currency" totalsRowCellStyle="Currency"/>
    <tableColumn id="4" xr3:uid="{097F2BD0-35D3-4EF0-B4EA-50C14D700BB9}" name="Left" totalsRowFunction="sum" dataDxfId="497" totalsRowDxfId="496" dataCellStyle="Currency" totalsRowCellStyle="Currency">
      <calculatedColumnFormula>Savings_4[[#This Row],[Planned]]-Savings_4[[#This Row],[Actual]]</calculatedColumnFormula>
    </tableColumn>
  </tableColumns>
  <tableStyleInfo name="TableBlank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1AB287-9EB9-4619-843A-E211752A7268}" name="Income_5" displayName="Income_5" ref="A12:D28" totalsRowCount="1" headerRowDxfId="495" dataDxfId="494" totalsRowDxfId="492" tableBorderDxfId="493" dataCellStyle="Currency">
  <autoFilter ref="A12:D27" xr:uid="{CCDB2F6C-7786-4F5A-BD6B-15E8FCB02A90}"/>
  <tableColumns count="4">
    <tableColumn id="1" xr3:uid="{C9656319-2F5B-40E5-BBCB-75F04BAA3913}" name="Source" totalsRowLabel="Total" totalsRowDxfId="86"/>
    <tableColumn id="2" xr3:uid="{F49F28AE-56F4-4BD8-8E93-55EBB0DF2674}" name="Planned" totalsRowFunction="sum" totalsRowDxfId="85" dataCellStyle="Currency"/>
    <tableColumn id="3" xr3:uid="{6EDFAE73-3399-4D00-B6F0-565439DBE050}" name="Actual" totalsRowFunction="sum" dataDxfId="82" totalsRowDxfId="84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834FC42B-14D1-4BC6-AF40-D5F155B9B4A7}" name="Left" totalsRowFunction="sum" totalsRowDxfId="83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F930767-6977-4221-9D1C-7D475DBF9B73}" name="Expenses_5" displayName="Expenses_5" ref="F12:I28" totalsRowCount="1" headerRowDxfId="491" totalsRowDxfId="488" headerRowBorderDxfId="490" tableBorderDxfId="489" totalsRowBorderDxfId="487" totalsRowCellStyle="Currency">
  <autoFilter ref="F12:I27" xr:uid="{E08152BE-2900-4DD5-9F45-6684A45F594E}"/>
  <tableColumns count="4">
    <tableColumn id="1" xr3:uid="{2DDB847A-C469-42E6-B895-A0EE0B7B37B8}" name="Category" totalsRowLabel="Total" dataDxfId="486" totalsRowDxfId="81"/>
    <tableColumn id="2" xr3:uid="{F12DA228-8E25-4A09-A3C8-D9EA115F3F5D}" name="Planned" totalsRowFunction="sum" dataDxfId="485" totalsRowDxfId="80" dataCellStyle="Currency" totalsRowCellStyle="Currency"/>
    <tableColumn id="3" xr3:uid="{1CCAC982-DFF2-4714-8C82-CC84515C8429}" name="Actual" totalsRowFunction="sum" dataDxfId="484" totalsRowDxfId="79" dataCellStyle="Currency" totalsRowCellStyle="Currency"/>
    <tableColumn id="4" xr3:uid="{85E93452-3DFA-444B-B017-655AB0211DFB}" name="Left" totalsRowFunction="sum" dataDxfId="483" totalsRowDxfId="78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5716227-40D8-429D-8D61-C4657AEC59F6}" name="Bills_5" displayName="Bills_5" ref="K12:N28" totalsRowCount="1" headerRowDxfId="482" totalsRowDxfId="479" headerRowBorderDxfId="481" tableBorderDxfId="480" totalsRowBorderDxfId="478" totalsRowCellStyle="Currency">
  <autoFilter ref="K12:N27" xr:uid="{12A78553-F26A-4156-B389-E3490B0285C3}"/>
  <tableColumns count="4">
    <tableColumn id="1" xr3:uid="{9697FD44-7371-4C9E-9819-723B22C59122}" name="Bill" totalsRowLabel="Total" dataDxfId="477" totalsRowDxfId="476"/>
    <tableColumn id="2" xr3:uid="{6322A9C4-5B24-435B-9D08-1F6E8AE2C7EC}" name="Due" dataDxfId="475" totalsRowDxfId="474"/>
    <tableColumn id="3" xr3:uid="{57BC0534-82D9-4715-8B3B-88793AE50878}" name="Planned" totalsRowFunction="sum" dataDxfId="473" totalsRowDxfId="472" dataCellStyle="Currency" totalsRowCellStyle="Currency"/>
    <tableColumn id="4" xr3:uid="{E6485CFE-40CB-4575-A634-21B616EA6C2E}" name="Actual" totalsRowFunction="count" dataDxfId="471" totalsRowDxfId="470" dataCellStyle="Currency" totalsRowCellStyle="Currency"/>
  </tableColumns>
  <tableStyleInfo name="TableBlank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088D5D8-64BA-409E-AD16-9D86AEA1C806}" name="Subscriptions_5" displayName="Subscriptions_5" ref="P12:S28" totalsRowCount="1" headerRowDxfId="469" totalsRowDxfId="466" headerRowBorderDxfId="468" tableBorderDxfId="467" totalsRowBorderDxfId="465" totalsRowCellStyle="Currency">
  <autoFilter ref="P12:S27" xr:uid="{8768D804-E5D1-47C3-99B5-E513C4A38C79}"/>
  <tableColumns count="4">
    <tableColumn id="1" xr3:uid="{CE3D967D-6496-4DA5-878E-D2983901F3D3}" name="Service" totalsRowLabel="Total" dataDxfId="464" totalsRowDxfId="463"/>
    <tableColumn id="2" xr3:uid="{C940B425-1694-4CF3-87EB-70FD8F4D5864}" name="Due" dataDxfId="462" totalsRowDxfId="461"/>
    <tableColumn id="3" xr3:uid="{1B69FF4B-B649-496C-A40A-610CBE55A71F}" name="Planned" totalsRowFunction="sum" dataDxfId="460" totalsRowDxfId="459" dataCellStyle="Currency" totalsRowCellStyle="Currency"/>
    <tableColumn id="4" xr3:uid="{EA7350E7-516B-4FC1-919C-A540A8D92FDA}" name="Actual" totalsRowFunction="sum" dataDxfId="458" totalsRowDxfId="457" dataCellStyle="Currency" totalsRowCellStyle="Currency"/>
  </tableColumns>
  <tableStyleInfo name="TableBlank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1886CF8-3A0C-46AE-9593-ED83F70B3E20}" name="Savings_5" displayName="Savings_5" ref="U12:X28" totalsRowCount="1" headerRowDxfId="456" totalsRowDxfId="453" headerRowBorderDxfId="455" tableBorderDxfId="454" totalsRowBorderDxfId="452" totalsRowCellStyle="Currency">
  <autoFilter ref="U12:X27" xr:uid="{A88D960D-91F3-4FEE-9763-13933AC657BA}"/>
  <tableColumns count="4">
    <tableColumn id="1" xr3:uid="{B469546F-BC15-4DA6-99B5-38861584DF7F}" name="Aim" totalsRowLabel="Total" dataDxfId="451" totalsRowDxfId="450"/>
    <tableColumn id="2" xr3:uid="{A4125CF3-F230-4842-B664-01ED80399F3F}" name="Planned" totalsRowFunction="sum" dataDxfId="449" totalsRowDxfId="448" dataCellStyle="Currency" totalsRowCellStyle="Currency"/>
    <tableColumn id="3" xr3:uid="{8CBA1140-8D5B-4DFD-91BD-BDD7E4AFDE8E}" name="Actual" totalsRowFunction="sum" dataDxfId="447" totalsRowDxfId="446" dataCellStyle="Currency" totalsRowCellStyle="Currency"/>
    <tableColumn id="4" xr3:uid="{60C395F7-1011-406F-B2BA-B20573BCD37C}" name="Left" totalsRowFunction="sum" dataDxfId="445" totalsRowDxfId="444" dataCellStyle="Currency" totalsRowCellStyle="Currency">
      <calculatedColumnFormula>Savings_5[[#This Row],[Planned]]-Savings_5[[#This Row],[Actual]]</calculatedColumnFormula>
    </tableColumn>
  </tableColumns>
  <tableStyleInfo name="TableBlank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A37AC65-AE49-4D20-A5D4-D6D847DBD70D}" name="Income_6" displayName="Income_6" ref="A12:D28" totalsRowCount="1" headerRowDxfId="443" dataDxfId="442" totalsRowDxfId="440" tableBorderDxfId="441" dataCellStyle="Currency">
  <autoFilter ref="A12:D27" xr:uid="{CCDB2F6C-7786-4F5A-BD6B-15E8FCB02A90}"/>
  <tableColumns count="4">
    <tableColumn id="1" xr3:uid="{D2BDF420-A8D3-44D3-8D4D-460F4448EB88}" name="Source" totalsRowLabel="Total" totalsRowDxfId="131"/>
    <tableColumn id="2" xr3:uid="{169E41B3-9E8B-4566-A2D6-6F0C9007831A}" name="Planned" totalsRowFunction="sum" totalsRowDxfId="130" dataCellStyle="Currency"/>
    <tableColumn id="3" xr3:uid="{95ADDD43-68AA-40C4-97A9-C879E14918D8}" name="Actual" totalsRowFunction="sum" dataDxfId="127" totalsRowDxfId="129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BBD6408F-A227-449C-AD23-970DCEE71084}" name="Left" totalsRowFunction="sum" totalsRowDxfId="128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870321C-ECD3-4C42-8EC6-D94854AF3527}" name="Expenses_6" displayName="Expenses_6" ref="F12:I28" totalsRowCount="1" headerRowDxfId="439" totalsRowDxfId="436" headerRowBorderDxfId="438" tableBorderDxfId="437" totalsRowBorderDxfId="435" totalsRowCellStyle="Currency">
  <autoFilter ref="F12:I27" xr:uid="{E08152BE-2900-4DD5-9F45-6684A45F594E}"/>
  <tableColumns count="4">
    <tableColumn id="1" xr3:uid="{B344E425-D3C2-4033-8070-A37AE8E9ACB2}" name="Category" totalsRowLabel="Total" dataDxfId="434" totalsRowDxfId="126"/>
    <tableColumn id="2" xr3:uid="{5B1F49A0-AD71-4A5C-A544-18A608033998}" name="Planned" totalsRowFunction="sum" dataDxfId="433" totalsRowDxfId="125" dataCellStyle="Currency" totalsRowCellStyle="Currency"/>
    <tableColumn id="3" xr3:uid="{7EF2D58E-9C5D-4907-BC7C-2C6490F1C8EE}" name="Actual" totalsRowFunction="sum" dataDxfId="432" totalsRowDxfId="124" dataCellStyle="Currency" totalsRowCellStyle="Currency"/>
    <tableColumn id="4" xr3:uid="{2588CB5F-E160-4B69-997D-256E9AFADC97}" name="Left" totalsRowFunction="sum" dataDxfId="431" totalsRowDxfId="123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C3F8368-8B64-4DAD-BE2F-32252D61631E}" name="Bills_6" displayName="Bills_6" ref="K12:N28" totalsRowCount="1" headerRowDxfId="430" totalsRowDxfId="427" headerRowBorderDxfId="429" tableBorderDxfId="428" totalsRowBorderDxfId="426" totalsRowCellStyle="Currency">
  <autoFilter ref="K12:N27" xr:uid="{12A78553-F26A-4156-B389-E3490B0285C3}"/>
  <tableColumns count="4">
    <tableColumn id="1" xr3:uid="{D50AC8D1-56ED-40A9-BA30-E225F3DFAA55}" name="Bill" totalsRowLabel="Total" dataDxfId="425" totalsRowDxfId="424"/>
    <tableColumn id="2" xr3:uid="{5A99FCFC-28BC-4D79-937F-006A4BCDCD39}" name="Due" dataDxfId="423" totalsRowDxfId="422"/>
    <tableColumn id="3" xr3:uid="{95118E74-6574-4707-ADD6-D1B9A74C13B8}" name="Planned" totalsRowFunction="sum" dataDxfId="421" totalsRowDxfId="420" dataCellStyle="Currency" totalsRowCellStyle="Currency"/>
    <tableColumn id="4" xr3:uid="{7A908F32-505A-4D43-AC7C-5A174810D690}" name="Actual" totalsRowFunction="count" dataDxfId="419" totalsRowDxfId="418" dataCellStyle="Currency" totalsRowCellStyle="Currency"/>
  </tableColumns>
  <tableStyleInfo name="TableBlank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804844F-0BA6-472D-AA6D-E6589FEE5542}" name="Subscriptions_6" displayName="Subscriptions_6" ref="P12:S28" totalsRowCount="1" headerRowDxfId="417" totalsRowDxfId="414" headerRowBorderDxfId="416" tableBorderDxfId="415" totalsRowBorderDxfId="413" totalsRowCellStyle="Currency">
  <autoFilter ref="P12:S27" xr:uid="{8768D804-E5D1-47C3-99B5-E513C4A38C79}"/>
  <tableColumns count="4">
    <tableColumn id="1" xr3:uid="{47033617-8493-440F-81AC-9326B1628B96}" name="Service" totalsRowLabel="Total" dataDxfId="412" totalsRowDxfId="411"/>
    <tableColumn id="2" xr3:uid="{64A6AC57-DA60-44F8-AC2A-F7AD6FE4C7BB}" name="Due" dataDxfId="410" totalsRowDxfId="409"/>
    <tableColumn id="3" xr3:uid="{FACD6610-7F02-452F-B112-6C1E828D69AD}" name="Planned" totalsRowFunction="sum" dataDxfId="408" totalsRowDxfId="407" dataCellStyle="Currency" totalsRowCellStyle="Currency"/>
    <tableColumn id="4" xr3:uid="{9EB6464D-1E35-4616-9A08-121094583B0C}" name="Actual" totalsRowFunction="sum" dataDxfId="406" totalsRowDxfId="405" dataCellStyle="Currency" totalsRowCellStyle="Currency"/>
  </tableColumns>
  <tableStyleInfo name="TableBlank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F295C67-2ED6-44E4-9825-8CB8744F1274}" name="Savings_6" displayName="Savings_6" ref="U12:X28" totalsRowCount="1" headerRowDxfId="404" totalsRowDxfId="401" headerRowBorderDxfId="403" tableBorderDxfId="402" totalsRowBorderDxfId="400" totalsRowCellStyle="Currency">
  <autoFilter ref="U12:X27" xr:uid="{A88D960D-91F3-4FEE-9763-13933AC657BA}"/>
  <tableColumns count="4">
    <tableColumn id="1" xr3:uid="{19559A9D-BBA2-40C7-930F-D483174DB39D}" name="Aim" totalsRowLabel="Total" dataDxfId="399" totalsRowDxfId="398"/>
    <tableColumn id="2" xr3:uid="{19A19DC8-7985-4B7B-849B-B13B666B26F3}" name="Planned" totalsRowFunction="sum" dataDxfId="397" totalsRowDxfId="396" dataCellStyle="Currency" totalsRowCellStyle="Currency"/>
    <tableColumn id="3" xr3:uid="{9D8541CA-2EB5-4388-B2D1-977AE7C048AA}" name="Actual" totalsRowFunction="sum" dataDxfId="395" totalsRowDxfId="394" dataCellStyle="Currency" totalsRowCellStyle="Currency"/>
    <tableColumn id="4" xr3:uid="{D8BB44E2-439C-4F3B-BC10-29ACABAE0CF0}" name="Left" totalsRowFunction="sum" dataDxfId="393" totalsRowDxfId="392" dataCellStyle="Currency" totalsRowCellStyle="Currency">
      <calculatedColumnFormula>Savings_6[[#This Row],[Planned]]-Savings_6[[#This Row],[Actual]]</calculatedColumnFormula>
    </tableColumn>
  </tableColumns>
  <tableStyleInfo name="TableBlank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F967148-7DD4-47AA-AD1E-286F9695C78F}" name="Income_7" displayName="Income_7" ref="A12:D28" totalsRowCount="1" headerRowDxfId="391" dataDxfId="390" totalsRowDxfId="388" tableBorderDxfId="389" dataCellStyle="Currency">
  <autoFilter ref="A12:D27" xr:uid="{CCDB2F6C-7786-4F5A-BD6B-15E8FCB02A90}"/>
  <tableColumns count="4">
    <tableColumn id="1" xr3:uid="{6CC323AD-E7BE-400F-9D34-FDF12A53C094}" name="Source" totalsRowLabel="Total" totalsRowDxfId="77"/>
    <tableColumn id="2" xr3:uid="{32B254B2-88F4-4ABF-A9B4-183AACA44599}" name="Planned" totalsRowFunction="sum" totalsRowDxfId="76" dataCellStyle="Currency"/>
    <tableColumn id="3" xr3:uid="{C8DAE700-6B58-4F8C-99B4-6F039FA153C9}" name="Actual" totalsRowFunction="sum" dataDxfId="73" totalsRowDxfId="75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65DAA9C0-56A6-4CB4-BAE9-B9AB35AE9ED0}" name="Left" totalsRowFunction="sum" totalsRowDxfId="74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5DD6E7B-83CE-45B4-8294-631349020768}" name="Expenses_7" displayName="Expenses_7" ref="F12:I28" totalsRowCount="1" headerRowDxfId="387" totalsRowDxfId="384" headerRowBorderDxfId="386" tableBorderDxfId="385" totalsRowBorderDxfId="383" totalsRowCellStyle="Currency">
  <autoFilter ref="F12:I27" xr:uid="{E08152BE-2900-4DD5-9F45-6684A45F594E}"/>
  <tableColumns count="4">
    <tableColumn id="1" xr3:uid="{9ACB0858-2894-40B6-B91F-DDDE9806323A}" name="Category" totalsRowLabel="Total" dataDxfId="382" totalsRowDxfId="72"/>
    <tableColumn id="2" xr3:uid="{93C58493-9254-43AE-B3E4-A7829D0AE3A1}" name="Planned" totalsRowFunction="sum" dataDxfId="381" totalsRowDxfId="71" dataCellStyle="Currency" totalsRowCellStyle="Currency"/>
    <tableColumn id="3" xr3:uid="{5CA1A5BE-9C28-431E-A4F5-C21778F49D44}" name="Actual" totalsRowFunction="sum" dataDxfId="380" totalsRowDxfId="70" dataCellStyle="Currency" totalsRowCellStyle="Currency"/>
    <tableColumn id="4" xr3:uid="{EFBCF0A6-328E-4597-81AF-5AC226BE996A}" name="Left" totalsRowFunction="sum" dataDxfId="379" totalsRowDxfId="69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E2046D8-CDEE-4B23-BD15-CCE616E88208}" name="Bills_7" displayName="Bills_7" ref="K12:N28" totalsRowCount="1" headerRowDxfId="378" totalsRowDxfId="375" headerRowBorderDxfId="377" tableBorderDxfId="376" totalsRowBorderDxfId="374" totalsRowCellStyle="Currency">
  <autoFilter ref="K12:N27" xr:uid="{12A78553-F26A-4156-B389-E3490B0285C3}"/>
  <tableColumns count="4">
    <tableColumn id="1" xr3:uid="{6CDA3E2E-819F-4BF1-92AA-69E7B16F90F1}" name="Bill" totalsRowLabel="Total" dataDxfId="373" totalsRowDxfId="372"/>
    <tableColumn id="2" xr3:uid="{153E52ED-87D3-4B5A-9B25-BC8A7A0D7A0A}" name="Due" dataDxfId="371" totalsRowDxfId="370"/>
    <tableColumn id="3" xr3:uid="{6599B000-3C20-452D-9A09-6D454F12F392}" name="Planned" totalsRowFunction="sum" dataDxfId="369" totalsRowDxfId="368" dataCellStyle="Currency" totalsRowCellStyle="Currency"/>
    <tableColumn id="4" xr3:uid="{6A6D5598-8095-4D03-A1A4-284DC6ED29DA}" name="Actual" totalsRowFunction="count" dataDxfId="367" totalsRowDxfId="366" dataCellStyle="Currency" totalsRowCellStyle="Currency"/>
  </tableColumns>
  <tableStyleInfo name="TableBlank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D4C25DD-9009-44BD-97BC-A175EC258938}" name="Subscriptions_7" displayName="Subscriptions_7" ref="P12:S28" totalsRowCount="1" headerRowDxfId="365" totalsRowDxfId="362" headerRowBorderDxfId="364" tableBorderDxfId="363" totalsRowBorderDxfId="361" totalsRowCellStyle="Currency">
  <autoFilter ref="P12:S27" xr:uid="{8768D804-E5D1-47C3-99B5-E513C4A38C79}"/>
  <tableColumns count="4">
    <tableColumn id="1" xr3:uid="{BFEC3EEA-98DF-4668-87CB-C627904535F1}" name="Service" totalsRowLabel="Total" dataDxfId="360" totalsRowDxfId="359"/>
    <tableColumn id="2" xr3:uid="{CFE49F32-2937-4737-A292-E40986BEEFC5}" name="Due" dataDxfId="358" totalsRowDxfId="357"/>
    <tableColumn id="3" xr3:uid="{F8A16346-F2B5-40A5-B390-F9D24F6EFA49}" name="Planned" totalsRowFunction="sum" dataDxfId="356" totalsRowDxfId="355" dataCellStyle="Currency" totalsRowCellStyle="Currency"/>
    <tableColumn id="4" xr3:uid="{CB8BA1C2-10BD-4C8D-8837-6E36C78FC430}" name="Actual" totalsRowFunction="sum" dataDxfId="354" totalsRowDxfId="353" dataCellStyle="Currency" totalsRowCellStyle="Currency"/>
  </tableColumns>
  <tableStyleInfo name="TableBlank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1E32D606-01FF-4D7E-8379-3D929EDA41F6}" name="Savings_7" displayName="Savings_7" ref="U12:X28" totalsRowCount="1" headerRowDxfId="352" totalsRowDxfId="349" headerRowBorderDxfId="351" tableBorderDxfId="350" totalsRowBorderDxfId="348" totalsRowCellStyle="Currency">
  <autoFilter ref="U12:X27" xr:uid="{A88D960D-91F3-4FEE-9763-13933AC657BA}"/>
  <tableColumns count="4">
    <tableColumn id="1" xr3:uid="{D4113CC4-019C-4101-9D21-CC714071FE21}" name="Aim" totalsRowLabel="Total" dataDxfId="347" totalsRowDxfId="346"/>
    <tableColumn id="2" xr3:uid="{397862D0-316E-4FC3-874A-611BA2DBCD27}" name="Planned" totalsRowFunction="sum" dataDxfId="345" totalsRowDxfId="344" dataCellStyle="Currency" totalsRowCellStyle="Currency"/>
    <tableColumn id="3" xr3:uid="{2C49C43D-3879-439E-A85D-62E5F35616B7}" name="Actual" totalsRowFunction="sum" dataDxfId="343" totalsRowDxfId="342" dataCellStyle="Currency" totalsRowCellStyle="Currency"/>
    <tableColumn id="4" xr3:uid="{7EB6AEFC-2D23-46C8-9EC3-CCC573BE470C}" name="Left" totalsRowFunction="sum" dataDxfId="341" totalsRowDxfId="340" dataCellStyle="Currency" totalsRowCellStyle="Currency">
      <calculatedColumnFormula>Savings_7[[#This Row],[Planned]]-Savings_7[[#This Row],[Actual]]</calculatedColumnFormula>
    </tableColumn>
  </tableColumns>
  <tableStyleInfo name="TableBlank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29D878C-63E3-4C7A-96C9-5C0AC8F1A4A8}" name="Income_8" displayName="Income_8" ref="A12:D28" totalsRowCount="1" headerRowDxfId="339" dataDxfId="338" totalsRowDxfId="336" tableBorderDxfId="337" dataCellStyle="Currency">
  <autoFilter ref="A12:D27" xr:uid="{CCDB2F6C-7786-4F5A-BD6B-15E8FCB02A90}"/>
  <tableColumns count="4">
    <tableColumn id="1" xr3:uid="{1EA9D753-2759-4FD7-BF4A-0505F603922B}" name="Source" totalsRowLabel="Total" totalsRowDxfId="44"/>
    <tableColumn id="2" xr3:uid="{E3525C43-ADD5-4732-AA56-8F916AFAEFCF}" name="Planned" totalsRowFunction="sum" totalsRowDxfId="43" dataCellStyle="Currency"/>
    <tableColumn id="3" xr3:uid="{CE338A78-8515-412E-8DA3-2ECD37573498}" name="Actual" totalsRowFunction="sum" dataDxfId="40" totalsRowDxfId="42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A32BA8F1-B49C-4129-89CB-10F44D36BE1C}" name="Left" totalsRowFunction="sum" totalsRowDxfId="41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8F85DAF5-C989-442A-9515-3463442F017F}" name="Expenses_8" displayName="Expenses_8" ref="F12:I28" totalsRowCount="1" headerRowDxfId="335" totalsRowDxfId="332" headerRowBorderDxfId="334" tableBorderDxfId="333" totalsRowBorderDxfId="331" totalsRowCellStyle="Currency">
  <autoFilter ref="F12:I27" xr:uid="{E08152BE-2900-4DD5-9F45-6684A45F594E}"/>
  <tableColumns count="4">
    <tableColumn id="1" xr3:uid="{11577B7B-BAC4-4524-839F-4E94BCE9A318}" name="Category" totalsRowLabel="Total" dataDxfId="330" totalsRowDxfId="39"/>
    <tableColumn id="2" xr3:uid="{F5F9BCCF-BFAF-44B8-B195-E14DE4D430CF}" name="Planned" totalsRowFunction="sum" dataDxfId="329" totalsRowDxfId="38" dataCellStyle="Currency" totalsRowCellStyle="Currency"/>
    <tableColumn id="3" xr3:uid="{EAAC458C-E478-4DCC-8A95-CD879E965A12}" name="Actual" totalsRowFunction="sum" dataDxfId="328" totalsRowDxfId="37" dataCellStyle="Currency" totalsRowCellStyle="Currency"/>
    <tableColumn id="4" xr3:uid="{D2DB29D4-9589-473F-87FE-EB75D06D8A4D}" name="Left" totalsRowFunction="sum" dataDxfId="327" totalsRowDxfId="36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529E8C1-5A21-4FD2-AC36-129AC998C248}" name="Bills_8" displayName="Bills_8" ref="K12:N28" totalsRowCount="1" headerRowDxfId="326" totalsRowDxfId="323" headerRowBorderDxfId="325" tableBorderDxfId="324" totalsRowBorderDxfId="322" totalsRowCellStyle="Currency">
  <autoFilter ref="K12:N27" xr:uid="{12A78553-F26A-4156-B389-E3490B0285C3}"/>
  <tableColumns count="4">
    <tableColumn id="1" xr3:uid="{F5125DAB-B22F-4757-A17D-49C676153B1D}" name="Bill" totalsRowLabel="Total" dataDxfId="321" totalsRowDxfId="320"/>
    <tableColumn id="2" xr3:uid="{14330C23-91B5-4191-A4D7-8F1F74F0A171}" name="Due" dataDxfId="319" totalsRowDxfId="318"/>
    <tableColumn id="3" xr3:uid="{A0429367-C439-4625-85C1-1113189855A9}" name="Planned" totalsRowFunction="sum" dataDxfId="317" totalsRowDxfId="316" dataCellStyle="Currency" totalsRowCellStyle="Currency"/>
    <tableColumn id="4" xr3:uid="{68BE08DD-BE96-47C5-8C47-8170CA9D596C}" name="Actual" totalsRowFunction="count" dataDxfId="315" totalsRowDxfId="314" dataCellStyle="Currency" totalsRowCellStyle="Currency"/>
  </tableColumns>
  <tableStyleInfo name="TableBlank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7DEED8E-00FF-4146-80D9-984544611054}" name="Subscriptions_8" displayName="Subscriptions_8" ref="P12:S28" totalsRowCount="1" headerRowDxfId="313" totalsRowDxfId="310" headerRowBorderDxfId="312" tableBorderDxfId="311" totalsRowBorderDxfId="309" totalsRowCellStyle="Currency">
  <autoFilter ref="P12:S27" xr:uid="{8768D804-E5D1-47C3-99B5-E513C4A38C79}"/>
  <tableColumns count="4">
    <tableColumn id="1" xr3:uid="{6AA6423B-24FC-4B63-AF8A-FB1D05AA3B2B}" name="Service" totalsRowLabel="Total" dataDxfId="308" totalsRowDxfId="307"/>
    <tableColumn id="2" xr3:uid="{4AFA329E-17F1-48AA-9179-2989315C4FC0}" name="Due" dataDxfId="306" totalsRowDxfId="305"/>
    <tableColumn id="3" xr3:uid="{C999090E-C3A3-4FEC-84D2-F2437F0EDA5B}" name="Planned" totalsRowFunction="sum" dataDxfId="304" totalsRowDxfId="303" dataCellStyle="Currency" totalsRowCellStyle="Currency"/>
    <tableColumn id="4" xr3:uid="{AD481204-871F-4405-98BB-0326D4AE4F9E}" name="Actual" totalsRowFunction="sum" dataDxfId="302" totalsRowDxfId="301" dataCellStyle="Currency" totalsRowCellStyle="Currency"/>
  </tableColumns>
  <tableStyleInfo name="TableBlank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C2255807-3576-4EBE-BA4A-EAC9D94B89DF}" name="Savings_8" displayName="Savings_8" ref="U12:X28" totalsRowCount="1" headerRowDxfId="300" totalsRowDxfId="297" headerRowBorderDxfId="299" tableBorderDxfId="298" totalsRowBorderDxfId="296" totalsRowCellStyle="Currency">
  <autoFilter ref="U12:X27" xr:uid="{A88D960D-91F3-4FEE-9763-13933AC657BA}"/>
  <tableColumns count="4">
    <tableColumn id="1" xr3:uid="{3DBA823B-6F6E-4FCD-882A-E5CC14CCCF8A}" name="Aim" totalsRowLabel="Total" dataDxfId="295" totalsRowDxfId="294"/>
    <tableColumn id="2" xr3:uid="{AE196DEC-D130-4213-945C-FE25DC085B36}" name="Planned" totalsRowFunction="sum" dataDxfId="293" totalsRowDxfId="292" dataCellStyle="Currency" totalsRowCellStyle="Currency"/>
    <tableColumn id="3" xr3:uid="{B8DA09D2-0D17-4DFE-B5F3-E780E1966E6C}" name="Actual" totalsRowFunction="sum" dataDxfId="291" totalsRowDxfId="290" dataCellStyle="Currency" totalsRowCellStyle="Currency"/>
    <tableColumn id="4" xr3:uid="{A2DFB604-791C-4C6B-9D8F-C63972D308A9}" name="Left" totalsRowFunction="sum" dataDxfId="289" totalsRowDxfId="288" dataCellStyle="Currency" totalsRowCellStyle="Currency">
      <calculatedColumnFormula>Savings_8[[#This Row],[Planned]]-Savings_8[[#This Row],[Actual]]</calculatedColumnFormula>
    </tableColumn>
  </tableColumns>
  <tableStyleInfo name="TableBlank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158E6FD9-00D2-40FE-85D0-0FE3DDAA6CC4}" name="Income_9" displayName="Income_9" ref="A12:D28" totalsRowCount="1" headerRowDxfId="287" dataDxfId="286" totalsRowDxfId="284" tableBorderDxfId="285" dataCellStyle="Currency">
  <autoFilter ref="A12:D27" xr:uid="{CCDB2F6C-7786-4F5A-BD6B-15E8FCB02A90}"/>
  <tableColumns count="4">
    <tableColumn id="1" xr3:uid="{240894E0-2D26-41F5-AB81-793FF20194AD}" name="Source" totalsRowLabel="Total" totalsRowDxfId="35"/>
    <tableColumn id="2" xr3:uid="{0E6F75CF-AA74-486A-8549-D2738F4D58D8}" name="Planned" totalsRowFunction="sum" totalsRowDxfId="34" dataCellStyle="Currency"/>
    <tableColumn id="3" xr3:uid="{B14F87EE-F163-40D0-A434-5412C2A8D17C}" name="Actual" totalsRowFunction="sum" dataDxfId="31" totalsRowDxfId="33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0C392175-905B-4A77-96DA-7514B8A2BA25}" name="Left" totalsRowFunction="sum" totalsRowDxfId="32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AB955FB1-1F08-4DEA-BDB0-C4EA695E9646}" name="Expenses_9" displayName="Expenses_9" ref="F12:I28" totalsRowCount="1" headerRowDxfId="283" totalsRowDxfId="280" headerRowBorderDxfId="282" tableBorderDxfId="281" totalsRowBorderDxfId="279" totalsRowCellStyle="Currency">
  <autoFilter ref="F12:I27" xr:uid="{E08152BE-2900-4DD5-9F45-6684A45F594E}"/>
  <tableColumns count="4">
    <tableColumn id="1" xr3:uid="{018382A5-A917-4616-ABFD-14DF01D860D9}" name="Category" totalsRowLabel="Total" dataDxfId="278" totalsRowDxfId="30"/>
    <tableColumn id="2" xr3:uid="{0353C423-6328-47CC-B5F0-737F175DD4BA}" name="Planned" totalsRowFunction="sum" dataDxfId="277" totalsRowDxfId="29" dataCellStyle="Currency" totalsRowCellStyle="Currency"/>
    <tableColumn id="3" xr3:uid="{67ECDC39-95DB-473B-98E8-DB35F58256D5}" name="Actual" totalsRowFunction="sum" dataDxfId="276" totalsRowDxfId="28" dataCellStyle="Currency" totalsRowCellStyle="Currency"/>
    <tableColumn id="4" xr3:uid="{55986125-19FA-4386-897B-2044CA45550E}" name="Left" totalsRowFunction="sum" dataDxfId="275" totalsRowDxfId="27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B5F1EAD8-2C00-4081-90A3-DF29EEB28135}" name="Bills_9" displayName="Bills_9" ref="K12:N28" totalsRowCount="1" headerRowDxfId="274" totalsRowDxfId="271" headerRowBorderDxfId="273" tableBorderDxfId="272" totalsRowBorderDxfId="270" totalsRowCellStyle="Currency">
  <autoFilter ref="K12:N27" xr:uid="{12A78553-F26A-4156-B389-E3490B0285C3}"/>
  <tableColumns count="4">
    <tableColumn id="1" xr3:uid="{AD2F81B8-74A3-4F3C-B120-3AF3F2534BDC}" name="Bill" totalsRowLabel="Total" dataDxfId="269" totalsRowDxfId="268"/>
    <tableColumn id="2" xr3:uid="{5E0D2EC6-9234-49D1-9174-43C1BB965244}" name="Due" dataDxfId="267" totalsRowDxfId="266"/>
    <tableColumn id="3" xr3:uid="{53AB25B0-B9EF-4CF0-B3A2-82FB5E288253}" name="Planned" totalsRowFunction="sum" dataDxfId="265" totalsRowDxfId="264" dataCellStyle="Currency" totalsRowCellStyle="Currency"/>
    <tableColumn id="4" xr3:uid="{7ADE0AA2-441C-40DE-909D-CBD3DFC2C459}" name="Actual" totalsRowFunction="count" dataDxfId="263" totalsRowDxfId="262" dataCellStyle="Currency" totalsRowCellStyle="Currency"/>
  </tableColumns>
  <tableStyleInfo name="TableBlank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9EA9A54-56D2-4DD5-9F53-2CA605FFCA7D}" name="Subscriptions_9" displayName="Subscriptions_9" ref="P12:S28" totalsRowCount="1" headerRowDxfId="261" totalsRowDxfId="258" headerRowBorderDxfId="260" tableBorderDxfId="259" totalsRowBorderDxfId="257" totalsRowCellStyle="Currency">
  <autoFilter ref="P12:S27" xr:uid="{8768D804-E5D1-47C3-99B5-E513C4A38C79}"/>
  <tableColumns count="4">
    <tableColumn id="1" xr3:uid="{2132AEFC-6D2B-4BD8-AA50-8F663F118392}" name="Service" totalsRowLabel="Total" dataDxfId="256" totalsRowDxfId="255"/>
    <tableColumn id="2" xr3:uid="{B272B173-01A5-4871-B770-7FB07DCC10CB}" name="Due" dataDxfId="254" totalsRowDxfId="253"/>
    <tableColumn id="3" xr3:uid="{C2BC8711-F729-416E-8159-B1CD89D56F5F}" name="Planned" totalsRowFunction="sum" dataDxfId="252" totalsRowDxfId="251" dataCellStyle="Currency" totalsRowCellStyle="Currency"/>
    <tableColumn id="4" xr3:uid="{AECF321B-FCCA-4C16-81A3-8BF2936B53ED}" name="Actual" totalsRowFunction="sum" dataDxfId="250" totalsRowDxfId="249" dataCellStyle="Currency" totalsRowCellStyle="Currency"/>
  </tableColumns>
  <tableStyleInfo name="TableBlank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35E0A201-261B-4E1C-930E-75C49D06B819}" name="Savings_9" displayName="Savings_9" ref="U12:X28" totalsRowCount="1" headerRowDxfId="248" totalsRowDxfId="245" headerRowBorderDxfId="247" tableBorderDxfId="246" totalsRowBorderDxfId="244" totalsRowCellStyle="Currency">
  <autoFilter ref="U12:X27" xr:uid="{A88D960D-91F3-4FEE-9763-13933AC657BA}"/>
  <tableColumns count="4">
    <tableColumn id="1" xr3:uid="{894F3AF7-BED1-4828-8A90-39683EC0876A}" name="Aim" totalsRowLabel="Total" dataDxfId="243" totalsRowDxfId="242"/>
    <tableColumn id="2" xr3:uid="{AE3D15C0-B6E1-47E4-9CC6-061BF1E03413}" name="Planned" totalsRowFunction="sum" dataDxfId="241" totalsRowDxfId="240" dataCellStyle="Currency" totalsRowCellStyle="Currency"/>
    <tableColumn id="3" xr3:uid="{2A41DC79-D6F9-47E3-806A-B87C40C510F0}" name="Actual" totalsRowFunction="sum" dataDxfId="239" totalsRowDxfId="238" dataCellStyle="Currency" totalsRowCellStyle="Currency"/>
    <tableColumn id="4" xr3:uid="{6E75F83E-BFBE-4569-A538-C3B0C9ACAC33}" name="Left" totalsRowFunction="sum" dataDxfId="237" totalsRowDxfId="236" dataCellStyle="Currency" totalsRowCellStyle="Currency">
      <calculatedColumnFormula>Savings_9[[#This Row],[Planned]]-Savings_9[[#This Row],[Actual]]</calculatedColumnFormula>
    </tableColumn>
  </tableColumns>
  <tableStyleInfo name="TableBlank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B760C9DA-7F8A-40C7-B67F-CF9B06FF6F6E}" name="Income_10" displayName="Income_10" ref="A12:D28" totalsRowCount="1" headerRowDxfId="235" dataDxfId="234" totalsRowDxfId="232" tableBorderDxfId="233" dataCellStyle="Currency">
  <autoFilter ref="A12:D27" xr:uid="{CCDB2F6C-7786-4F5A-BD6B-15E8FCB02A90}"/>
  <tableColumns count="4">
    <tableColumn id="1" xr3:uid="{4F61A9B2-1FBB-4F3D-B533-C951A5BA527C}" name="Source" totalsRowLabel="Total" totalsRowDxfId="26"/>
    <tableColumn id="2" xr3:uid="{723B532B-8FDA-446B-8CCE-F4B463DDDB68}" name="Planned" totalsRowFunction="sum" totalsRowDxfId="25" dataCellStyle="Currency"/>
    <tableColumn id="3" xr3:uid="{18A4AC7C-BB28-4A7B-967F-0A3BDCBA94F4}" name="Actual" totalsRowFunction="sum" dataDxfId="22" totalsRowDxfId="24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B08966F7-9B5F-48E3-BEBF-72C286431A46}" name="Left" totalsRowFunction="sum" totalsRowDxfId="23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2E7EF5F-B6C9-4145-A694-D9AD0F073B0E}" name="Expenses_10" displayName="Expenses_10" ref="F12:I28" totalsRowCount="1" headerRowDxfId="231" totalsRowDxfId="228" headerRowBorderDxfId="230" tableBorderDxfId="229" totalsRowBorderDxfId="227" totalsRowCellStyle="Currency">
  <autoFilter ref="F12:I27" xr:uid="{E08152BE-2900-4DD5-9F45-6684A45F594E}"/>
  <tableColumns count="4">
    <tableColumn id="1" xr3:uid="{4E91C6F8-811F-4560-9082-A396B5ED5F37}" name="Category" totalsRowLabel="Total" dataDxfId="226" totalsRowDxfId="21"/>
    <tableColumn id="2" xr3:uid="{B0AB0A37-B65B-436C-86A2-9ACF128A50A6}" name="Planned" totalsRowFunction="sum" dataDxfId="225" totalsRowDxfId="20" dataCellStyle="Currency" totalsRowCellStyle="Currency"/>
    <tableColumn id="3" xr3:uid="{926494C0-7BF8-42A9-B9F5-F88AA2F4332F}" name="Actual" totalsRowFunction="sum" dataDxfId="224" totalsRowDxfId="19" dataCellStyle="Currency" totalsRowCellStyle="Currency"/>
    <tableColumn id="4" xr3:uid="{E5CABA12-CB0E-4626-8F4A-7FFBD8DE9440}" name="Left" totalsRowFunction="sum" dataDxfId="223" totalsRowDxfId="18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7F14C1D6-9652-4DA3-BB65-09A40458B387}" name="Bills_10" displayName="Bills_10" ref="K12:N28" totalsRowCount="1" headerRowDxfId="222" totalsRowDxfId="219" headerRowBorderDxfId="221" tableBorderDxfId="220" totalsRowBorderDxfId="218" totalsRowCellStyle="Currency">
  <autoFilter ref="K12:N27" xr:uid="{12A78553-F26A-4156-B389-E3490B0285C3}"/>
  <tableColumns count="4">
    <tableColumn id="1" xr3:uid="{8E387170-534D-4CA8-ABDB-17845EAD4223}" name="Bill" totalsRowLabel="Total" dataDxfId="217" totalsRowDxfId="216"/>
    <tableColumn id="2" xr3:uid="{35CA5E32-763C-4977-8132-F07A89D9D5CA}" name="Due" dataDxfId="215" totalsRowDxfId="214"/>
    <tableColumn id="3" xr3:uid="{B7DFD4DE-F90E-4D8D-948D-942E444815E9}" name="Planned" totalsRowFunction="sum" dataDxfId="213" totalsRowDxfId="212" dataCellStyle="Currency" totalsRowCellStyle="Currency"/>
    <tableColumn id="4" xr3:uid="{D32ADC79-F9F3-4E26-8992-A0367DACE95C}" name="Actual" totalsRowFunction="count" dataDxfId="211" totalsRowDxfId="210" dataCellStyle="Currency" totalsRowCellStyle="Currency"/>
  </tableColumns>
  <tableStyleInfo name="TableBlank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D1D9985-B3C5-42F7-B56D-5EA241333291}" name="Subscriptions_10" displayName="Subscriptions_10" ref="P12:S28" totalsRowCount="1" headerRowDxfId="209" totalsRowDxfId="206" headerRowBorderDxfId="208" tableBorderDxfId="207" totalsRowBorderDxfId="205" totalsRowCellStyle="Currency">
  <autoFilter ref="P12:S27" xr:uid="{8768D804-E5D1-47C3-99B5-E513C4A38C79}"/>
  <tableColumns count="4">
    <tableColumn id="1" xr3:uid="{C5A0E545-FCB5-4D99-8753-2CCAAD69A94F}" name="Service" totalsRowLabel="Total" dataDxfId="204" totalsRowDxfId="203"/>
    <tableColumn id="2" xr3:uid="{B70C4390-8193-4952-817F-AEB9F6812975}" name="Due" dataDxfId="202" totalsRowDxfId="201"/>
    <tableColumn id="3" xr3:uid="{32188F0A-F84D-4446-AA38-444303DA9ED0}" name="Planned" totalsRowFunction="sum" dataDxfId="200" totalsRowDxfId="199" dataCellStyle="Currency" totalsRowCellStyle="Currency"/>
    <tableColumn id="4" xr3:uid="{BF05CB67-F253-43F9-B264-3B621EAD5809}" name="Actual" totalsRowFunction="sum" dataDxfId="198" totalsRowDxfId="197" dataCellStyle="Currency" totalsRowCellStyle="Currency"/>
  </tableColumns>
  <tableStyleInfo name="TableBlank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B6F2CCA-13FA-414D-A3AB-ECE59C278B57}" name="Savings_10" displayName="Savings_10" ref="U12:X28" totalsRowCount="1" headerRowDxfId="196" totalsRowDxfId="193" headerRowBorderDxfId="195" tableBorderDxfId="194" totalsRowBorderDxfId="192" totalsRowCellStyle="Currency">
  <autoFilter ref="U12:X27" xr:uid="{A88D960D-91F3-4FEE-9763-13933AC657BA}"/>
  <tableColumns count="4">
    <tableColumn id="1" xr3:uid="{A82D7AB2-7BA5-41A0-AE78-9DB834E96C23}" name="Aim" totalsRowLabel="Total" dataDxfId="191" totalsRowDxfId="190"/>
    <tableColumn id="2" xr3:uid="{6010F0A8-6D11-4697-A72E-FB6799CF5F54}" name="Planned" totalsRowFunction="sum" dataDxfId="189" totalsRowDxfId="188" dataCellStyle="Currency" totalsRowCellStyle="Currency"/>
    <tableColumn id="3" xr3:uid="{5009E6BA-52C9-4475-9F4A-13D748E8E8CB}" name="Actual" totalsRowFunction="sum" dataDxfId="187" totalsRowDxfId="186" dataCellStyle="Currency" totalsRowCellStyle="Currency"/>
    <tableColumn id="4" xr3:uid="{9DC620D7-605D-4218-B6D1-674CC340AA49}" name="Left" totalsRowFunction="sum" dataDxfId="185" totalsRowDxfId="184" dataCellStyle="Currency" totalsRowCellStyle="Currency">
      <calculatedColumnFormula>Savings_10[[#This Row],[Planned]]-Savings_10[[#This Row],[Actual]]</calculatedColumnFormula>
    </tableColumn>
  </tableColumns>
  <tableStyleInfo name="TableBlank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814AE073-702F-41A8-B4D8-B6739D8530F0}" name="Income_11" displayName="Income_11" ref="A12:D28" totalsRowCount="1" headerRowDxfId="183" dataDxfId="182" totalsRowDxfId="180" tableBorderDxfId="181" dataCellStyle="Currency">
  <autoFilter ref="A12:D27" xr:uid="{CCDB2F6C-7786-4F5A-BD6B-15E8FCB02A90}"/>
  <tableColumns count="4">
    <tableColumn id="1" xr3:uid="{419502F7-E42D-4443-B11A-263E0B3F3F7F}" name="Source" totalsRowLabel="Total" totalsRowDxfId="17"/>
    <tableColumn id="2" xr3:uid="{306ADC5A-3A33-4C44-ADD5-2FA453D256F9}" name="Planned" totalsRowFunction="sum" totalsRowDxfId="16" dataCellStyle="Currency"/>
    <tableColumn id="3" xr3:uid="{64ED3AE4-13A5-4BC6-825C-ACAAA08120EC}" name="Actual" totalsRowFunction="sum" dataDxfId="13" totalsRowDxfId="15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F33526E3-A635-488A-8C29-0C858E9D8A8B}" name="Left" totalsRowFunction="sum" totalsRowDxfId="14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09E7DD4-88DF-4075-95D8-31D43653BBBC}" name="Expenses_11" displayName="Expenses_11" ref="F12:I28" totalsRowCount="1" headerRowDxfId="179" totalsRowDxfId="176" headerRowBorderDxfId="178" tableBorderDxfId="177" totalsRowBorderDxfId="175" totalsRowCellStyle="Currency">
  <autoFilter ref="F12:I27" xr:uid="{E08152BE-2900-4DD5-9F45-6684A45F594E}"/>
  <tableColumns count="4">
    <tableColumn id="1" xr3:uid="{BB2B2553-0A8B-4ADA-AE5C-47677A398159}" name="Category" totalsRowLabel="Total" dataDxfId="174" totalsRowDxfId="12"/>
    <tableColumn id="2" xr3:uid="{C48D7460-9E8E-4753-BD04-5FA81860C628}" name="Planned" totalsRowFunction="sum" dataDxfId="173" totalsRowDxfId="11" dataCellStyle="Currency" totalsRowCellStyle="Currency"/>
    <tableColumn id="3" xr3:uid="{6CF36B69-9FE8-4701-87D8-F2A15E8BE193}" name="Actual" totalsRowFunction="sum" dataDxfId="172" totalsRowDxfId="10" dataCellStyle="Currency" totalsRowCellStyle="Currency"/>
    <tableColumn id="4" xr3:uid="{009A5CD6-3B8E-4AEA-82EF-5DCC4A09A80F}" name="Left" totalsRowFunction="sum" dataDxfId="171" totalsRowDxfId="9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5BC4771-3F51-411C-AEBA-4DF9180216C6}" name="Bills_11" displayName="Bills_11" ref="K12:N28" totalsRowCount="1" headerRowDxfId="170" totalsRowDxfId="167" headerRowBorderDxfId="169" tableBorderDxfId="168" totalsRowBorderDxfId="166" totalsRowCellStyle="Currency">
  <autoFilter ref="K12:N27" xr:uid="{12A78553-F26A-4156-B389-E3490B0285C3}"/>
  <tableColumns count="4">
    <tableColumn id="1" xr3:uid="{F847A6C7-0D37-4D99-98C9-ADCBCEEA80FE}" name="Bill" totalsRowLabel="Total" dataDxfId="165" totalsRowDxfId="164"/>
    <tableColumn id="2" xr3:uid="{4D57BC4C-E91D-4ADE-BF1E-B8BDC8DBC3C5}" name="Due" dataDxfId="163" totalsRowDxfId="162"/>
    <tableColumn id="3" xr3:uid="{64AC16A6-258D-4C15-B9C8-6619666647E9}" name="Planned" totalsRowFunction="sum" dataDxfId="161" totalsRowDxfId="160" dataCellStyle="Currency" totalsRowCellStyle="Currency"/>
    <tableColumn id="4" xr3:uid="{F806EF72-2075-47EA-A00B-B052E983A511}" name="Actual" totalsRowFunction="count" dataDxfId="159" totalsRowDxfId="158" dataCellStyle="Currency" totalsRowCellStyle="Currency"/>
  </tableColumns>
  <tableStyleInfo name="TableBlank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A4ECD69-8CD7-4D82-9DAF-9D370A349DE0}" name="Subscriptions_11" displayName="Subscriptions_11" ref="P12:S28" totalsRowCount="1" headerRowDxfId="157" totalsRowDxfId="154" headerRowBorderDxfId="156" tableBorderDxfId="155" totalsRowBorderDxfId="153" totalsRowCellStyle="Currency">
  <autoFilter ref="P12:S27" xr:uid="{8768D804-E5D1-47C3-99B5-E513C4A38C79}"/>
  <tableColumns count="4">
    <tableColumn id="1" xr3:uid="{8D210518-2146-4F52-A527-B3A1E140F645}" name="Service" totalsRowLabel="Total" dataDxfId="152" totalsRowDxfId="151"/>
    <tableColumn id="2" xr3:uid="{4088A118-F320-4A6F-9A49-3FEFA94A30CC}" name="Due" dataDxfId="150" totalsRowDxfId="149"/>
    <tableColumn id="3" xr3:uid="{668EB529-8467-46CC-BB81-84DDA13AE7F9}" name="Planned" totalsRowFunction="sum" dataDxfId="148" totalsRowDxfId="147" dataCellStyle="Currency" totalsRowCellStyle="Currency"/>
    <tableColumn id="4" xr3:uid="{65F2C8D5-9F6E-4209-BF32-D57DC27D0251}" name="Actual" totalsRowFunction="sum" dataDxfId="146" totalsRowDxfId="145" dataCellStyle="Currency" totalsRowCellStyle="Currency"/>
  </tableColumns>
  <tableStyleInfo name="TableBlank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14B755B5-DCA8-4201-90CB-F2F1F157CB66}" name="Savings_11" displayName="Savings_11" ref="U12:X28" totalsRowCount="1" headerRowDxfId="144" totalsRowDxfId="141" headerRowBorderDxfId="143" tableBorderDxfId="142" totalsRowBorderDxfId="140" totalsRowCellStyle="Currency">
  <autoFilter ref="U12:X27" xr:uid="{A88D960D-91F3-4FEE-9763-13933AC657BA}"/>
  <tableColumns count="4">
    <tableColumn id="1" xr3:uid="{620AE1B4-4BE0-4088-83AB-7CC3DB9E2F46}" name="Aim" totalsRowLabel="Total" dataDxfId="139" totalsRowDxfId="138"/>
    <tableColumn id="2" xr3:uid="{F74B3142-D99C-49D4-9FBB-F4DAFAF141F8}" name="Planned" totalsRowFunction="sum" dataDxfId="137" totalsRowDxfId="136" dataCellStyle="Currency" totalsRowCellStyle="Currency"/>
    <tableColumn id="3" xr3:uid="{B670270F-EAA3-4602-BEEC-A47DD1FB09E0}" name="Actual" totalsRowFunction="sum" dataDxfId="135" totalsRowDxfId="134" dataCellStyle="Currency" totalsRowCellStyle="Currency"/>
    <tableColumn id="4" xr3:uid="{155DBB6F-FD72-4054-B007-551EA00CD3DD}" name="Left" totalsRowFunction="sum" dataDxfId="133" totalsRowDxfId="132" dataCellStyle="Currency" totalsRowCellStyle="Currency">
      <calculatedColumnFormula>Savings_11[[#This Row],[Planned]]-Savings_11[[#This Row],[Actual]]</calculatedColumnFormula>
    </tableColumn>
  </tableColumns>
  <tableStyleInfo name="TableBlank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D42BB63-5B1F-47A0-9C64-90C98E865059}" name="Income_12" displayName="Income_12" ref="A12:D28" totalsRowCount="1" headerRowDxfId="755" dataDxfId="754" totalsRowDxfId="752" tableBorderDxfId="753" dataCellStyle="Currency">
  <autoFilter ref="A12:D27" xr:uid="{CCDB2F6C-7786-4F5A-BD6B-15E8FCB02A90}"/>
  <tableColumns count="4">
    <tableColumn id="1" xr3:uid="{EA7B7A47-58F5-490D-BA9B-A4914063E072}" name="Source" totalsRowLabel="Total" totalsRowDxfId="8"/>
    <tableColumn id="2" xr3:uid="{BE014FA1-8482-4C44-BB90-4BF49466620C}" name="Planned" totalsRowFunction="sum" totalsRowDxfId="7" dataCellStyle="Currency"/>
    <tableColumn id="3" xr3:uid="{588A188F-A644-48A5-A8D9-885ADDF6364A}" name="Actual" totalsRowFunction="sum" dataDxfId="4" totalsRowDxfId="6" dataCellStyle="Currency">
      <calculatedColumnFormula array="1">_xlfn.XLOOKUP(A13,INDIRECT("'Finances.xlsx'!incomes_"&amp;$A$2&amp;"[Category]"),INDIRECT("'Finances.xlsx'!incomes_"&amp;$A$2&amp;"[Total]"),0,0,1)</calculatedColumnFormula>
    </tableColumn>
    <tableColumn id="4" xr3:uid="{710A4254-3BD4-4AC2-9F1F-CA0FCF76842F}" name="Left" totalsRowFunction="sum" totalsRowDxfId="5" dataCellStyle="Currency">
      <calculatedColumnFormula>C13-B13</calculatedColumnFormula>
    </tableColumn>
  </tableColumns>
  <tableStyleInfo name="TableBlank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6E539D1E-E381-4A02-8C19-DA4505B1DCBA}" name="Expenses_12" displayName="Expenses_12" ref="F12:I28" totalsRowCount="1" headerRowDxfId="751" totalsRowDxfId="748" headerRowBorderDxfId="750" tableBorderDxfId="749" totalsRowBorderDxfId="747" totalsRowCellStyle="Currency">
  <autoFilter ref="F12:I27" xr:uid="{E08152BE-2900-4DD5-9F45-6684A45F594E}"/>
  <tableColumns count="4">
    <tableColumn id="1" xr3:uid="{7123A05A-2CA9-4DB8-8EA6-FF342A7E9135}" name="Category" totalsRowLabel="Total" dataDxfId="746" totalsRowDxfId="3"/>
    <tableColumn id="2" xr3:uid="{080BEC79-4237-42B5-98CC-77717F59A776}" name="Planned" totalsRowFunction="sum" dataDxfId="745" totalsRowDxfId="2" dataCellStyle="Currency" totalsRowCellStyle="Currency"/>
    <tableColumn id="3" xr3:uid="{7E3F9790-075C-4A00-9490-3BD8915432B1}" name="Actual" totalsRowFunction="sum" dataDxfId="744" totalsRowDxfId="1" dataCellStyle="Currency" totalsRowCellStyle="Currency"/>
    <tableColumn id="4" xr3:uid="{9AB2B38D-6868-4857-BB41-C9FA65627C6F}" name="Left" totalsRowFunction="sum" dataDxfId="743" totalsRowDxfId="0" dataCellStyle="Currency" totalsRowCellStyle="Currency">
      <calculatedColumnFormula>G13-H13</calculatedColumnFormula>
    </tableColumn>
  </tableColumns>
  <tableStyleInfo name="TableBlank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31A2BD67-3FD6-413B-9622-EF8496EC93C7}" name="Bills_12" displayName="Bills_12" ref="K12:N28" totalsRowCount="1" headerRowDxfId="742" totalsRowDxfId="739" headerRowBorderDxfId="741" tableBorderDxfId="740" totalsRowBorderDxfId="738" totalsRowCellStyle="Currency">
  <autoFilter ref="K12:N27" xr:uid="{12A78553-F26A-4156-B389-E3490B0285C3}"/>
  <tableColumns count="4">
    <tableColumn id="1" xr3:uid="{1D895CBA-92EE-4541-8568-DECFFFADB428}" name="Bill" totalsRowLabel="Total" dataDxfId="737" totalsRowDxfId="736"/>
    <tableColumn id="2" xr3:uid="{5E81E437-56C9-4CDB-BC69-87BDFCF13FAF}" name="Due" dataDxfId="735" totalsRowDxfId="734"/>
    <tableColumn id="3" xr3:uid="{BE85D9FF-F38B-47A3-9BF8-6B2AB48D6E67}" name="Planned" totalsRowFunction="sum" dataDxfId="733" totalsRowDxfId="732" dataCellStyle="Currency" totalsRowCellStyle="Currency"/>
    <tableColumn id="4" xr3:uid="{B750236C-CBE5-4663-8D8D-EDBD0BDC8D82}" name="Actual" totalsRowFunction="count" dataDxfId="731" totalsRowDxfId="730" dataCellStyle="Currency" totalsRowCellStyle="Currency"/>
  </tableColumns>
  <tableStyleInfo name="TableBlank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AB1BFB0-F6EC-47A8-A934-F483D5F5078C}" name="Subscriptions_12" displayName="Subscriptions_12" ref="P12:S28" totalsRowCount="1" headerRowDxfId="729" totalsRowDxfId="726" headerRowBorderDxfId="728" tableBorderDxfId="727" totalsRowBorderDxfId="725" totalsRowCellStyle="Currency">
  <autoFilter ref="P12:S27" xr:uid="{8768D804-E5D1-47C3-99B5-E513C4A38C79}"/>
  <tableColumns count="4">
    <tableColumn id="1" xr3:uid="{4763AB8D-1CC1-469B-83D4-5870B2175D8A}" name="Service" totalsRowLabel="Total" dataDxfId="724" totalsRowDxfId="723"/>
    <tableColumn id="2" xr3:uid="{587D4EE7-3FCE-41F1-8BBE-7059F1747936}" name="Due" dataDxfId="722" totalsRowDxfId="721"/>
    <tableColumn id="3" xr3:uid="{87833F78-A36A-4683-A68A-48669C8D0528}" name="Planned" totalsRowFunction="sum" dataDxfId="720" totalsRowDxfId="719" dataCellStyle="Currency" totalsRowCellStyle="Currency"/>
    <tableColumn id="4" xr3:uid="{6639F1F6-4669-47CD-864E-30AAC43B3BDF}" name="Actual" totalsRowFunction="sum" dataDxfId="718" totalsRowDxfId="717" dataCellStyle="Currency" totalsRowCellStyle="Currency"/>
  </tableColumns>
  <tableStyleInfo name="TableBlank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CC49BA5F-214E-4550-962E-952F50D52782}" name="Savings_12" displayName="Savings_12" ref="U12:X28" totalsRowCount="1" headerRowDxfId="716" totalsRowDxfId="713" headerRowBorderDxfId="715" tableBorderDxfId="714" totalsRowBorderDxfId="712" totalsRowCellStyle="Currency">
  <autoFilter ref="U12:X27" xr:uid="{A88D960D-91F3-4FEE-9763-13933AC657BA}"/>
  <tableColumns count="4">
    <tableColumn id="1" xr3:uid="{B797558E-1BF7-4A61-8AE9-F03B75E3D82C}" name="Aim" totalsRowLabel="Total" dataDxfId="711" totalsRowDxfId="710"/>
    <tableColumn id="2" xr3:uid="{0971D556-6D69-418A-91D5-938FE078FB99}" name="Planned" totalsRowFunction="sum" dataDxfId="709" totalsRowDxfId="708" dataCellStyle="Currency" totalsRowCellStyle="Currency"/>
    <tableColumn id="3" xr3:uid="{B9E55FFD-AC30-494E-BA5B-CA5D43F24C61}" name="Actual" totalsRowFunction="sum" dataDxfId="707" totalsRowDxfId="706" dataCellStyle="Currency" totalsRowCellStyle="Currency"/>
    <tableColumn id="4" xr3:uid="{0D2DF134-A797-46B0-818B-EBB833D86EC4}" name="Left" totalsRowFunction="sum" dataDxfId="705" totalsRowDxfId="704" dataCellStyle="Currency" totalsRowCellStyle="Currency">
      <calculatedColumnFormula>Savings_12[[#This Row],[Planned]]-Savings_12[[#This Row],[Actual]]</calculatedColumnFormula>
    </tableColumn>
  </tableColumns>
  <tableStyleInfo name="TableBlank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7" Type="http://schemas.openxmlformats.org/officeDocument/2006/relationships/table" Target="../tables/table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7" Type="http://schemas.openxmlformats.org/officeDocument/2006/relationships/table" Target="../tables/table4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7" Type="http://schemas.openxmlformats.org/officeDocument/2006/relationships/table" Target="../tables/table5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9.xml"/><Relationship Id="rId5" Type="http://schemas.openxmlformats.org/officeDocument/2006/relationships/table" Target="../tables/table48.xml"/><Relationship Id="rId4" Type="http://schemas.openxmlformats.org/officeDocument/2006/relationships/table" Target="../tables/table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7" Type="http://schemas.openxmlformats.org/officeDocument/2006/relationships/table" Target="../tables/table5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4.xml"/><Relationship Id="rId5" Type="http://schemas.openxmlformats.org/officeDocument/2006/relationships/table" Target="../tables/table53.xml"/><Relationship Id="rId4" Type="http://schemas.openxmlformats.org/officeDocument/2006/relationships/table" Target="../tables/table5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6.xml"/><Relationship Id="rId7" Type="http://schemas.openxmlformats.org/officeDocument/2006/relationships/table" Target="../tables/table6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9.xml"/><Relationship Id="rId5" Type="http://schemas.openxmlformats.org/officeDocument/2006/relationships/table" Target="../tables/table58.xml"/><Relationship Id="rId4" Type="http://schemas.openxmlformats.org/officeDocument/2006/relationships/table" Target="../tables/table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0A9CF-7FC3-434E-879A-4CEC8ED98229}">
  <sheetPr codeName="Sheet1"/>
  <dimension ref="A1:X33"/>
  <sheetViews>
    <sheetView tabSelected="1"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1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250</v>
      </c>
      <c r="D13" s="16">
        <f ca="1">C13-B13</f>
        <v>-2250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45667</v>
      </c>
      <c r="M13" s="14">
        <v>2200</v>
      </c>
      <c r="N13" s="45"/>
      <c r="O13" s="3"/>
      <c r="P13" s="54" t="s">
        <v>35</v>
      </c>
      <c r="Q13" s="28">
        <f ca="1">DATE(2025,$A$2,26)</f>
        <v>45683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Savings_1[[#This Row],[Planned]]-Savings_1[[#This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105.5</v>
      </c>
      <c r="D14" s="16">
        <f t="shared" ref="D14:D27" ca="1" si="0">C14-B14</f>
        <v>-194.5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80</v>
      </c>
      <c r="I14" s="36">
        <f t="shared" ref="I14:I27" ca="1" si="1">G14-H14</f>
        <v>120</v>
      </c>
      <c r="J14" s="3"/>
      <c r="K14" s="44" t="s">
        <v>23</v>
      </c>
      <c r="L14" s="22">
        <f ca="1">DATE(2025,$A$2,15)</f>
        <v>45672</v>
      </c>
      <c r="M14" s="14">
        <v>115</v>
      </c>
      <c r="N14" s="45"/>
      <c r="O14" s="3"/>
      <c r="P14" s="54" t="s">
        <v>34</v>
      </c>
      <c r="Q14" s="28">
        <f ca="1">DATE(2025,$A$2,19)</f>
        <v>45676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Savings_1[[#This Row],[Planned]]-Savings_1[[#This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0</v>
      </c>
      <c r="D15" s="16">
        <f t="shared" ca="1" si="0"/>
        <v>-500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85</v>
      </c>
      <c r="I15" s="36">
        <f t="shared" ca="1" si="1"/>
        <v>215</v>
      </c>
      <c r="J15" s="3"/>
      <c r="K15" s="44" t="s">
        <v>24</v>
      </c>
      <c r="L15" s="22">
        <f t="shared" ref="L15:L16" ca="1" si="2">DATE(2025,$A$2,10)</f>
        <v>45667</v>
      </c>
      <c r="M15" s="14">
        <v>65</v>
      </c>
      <c r="N15" s="45"/>
      <c r="O15" s="3"/>
      <c r="P15" s="54" t="s">
        <v>39</v>
      </c>
      <c r="Q15" s="28">
        <f ca="1">DATE(2025,$A$2,19)</f>
        <v>45676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Savings_1[[#This Row],[Planned]]-Savings_1[[#This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800</v>
      </c>
      <c r="D16" s="16">
        <f t="shared" ca="1" si="0"/>
        <v>700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1715</v>
      </c>
      <c r="I16" s="36">
        <f t="shared" ca="1" si="1"/>
        <v>-965</v>
      </c>
      <c r="J16" s="3"/>
      <c r="K16" s="44" t="s">
        <v>25</v>
      </c>
      <c r="L16" s="22">
        <f t="shared" ca="1" si="2"/>
        <v>45667</v>
      </c>
      <c r="M16" s="14">
        <v>40</v>
      </c>
      <c r="N16" s="45"/>
      <c r="O16" s="3"/>
      <c r="P16" s="54" t="s">
        <v>40</v>
      </c>
      <c r="Q16" s="28">
        <f ca="1">DATE(2025,$A$2,26)</f>
        <v>45683</v>
      </c>
      <c r="R16" s="29">
        <v>100</v>
      </c>
      <c r="S16" s="55"/>
      <c r="T16" s="3"/>
      <c r="U16" s="64"/>
      <c r="V16" s="7"/>
      <c r="W16" s="65"/>
      <c r="X16" s="65">
        <f>Savings_1[[#This Row],[Planned]]-Savings_1[[#This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100</v>
      </c>
      <c r="I17" s="36">
        <f t="shared" ca="1" si="1"/>
        <v>30</v>
      </c>
      <c r="J17" s="3"/>
      <c r="K17" s="44" t="s">
        <v>26</v>
      </c>
      <c r="L17" s="22">
        <f ca="1">DATE(2025,$A$2,28)</f>
        <v>45685</v>
      </c>
      <c r="M17" s="14">
        <v>35</v>
      </c>
      <c r="N17" s="45"/>
      <c r="O17" s="3"/>
      <c r="P17" s="54" t="s">
        <v>41</v>
      </c>
      <c r="Q17" s="28">
        <f ca="1">DATE(2025,$A$2,23)</f>
        <v>45680</v>
      </c>
      <c r="R17" s="29">
        <v>42.69</v>
      </c>
      <c r="S17" s="55"/>
      <c r="T17" s="3"/>
      <c r="U17" s="64"/>
      <c r="V17" s="7"/>
      <c r="W17" s="65"/>
      <c r="X17" s="65">
        <f>Savings_1[[#This Row],[Planned]]-Savings_1[[#This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150</v>
      </c>
      <c r="I18" s="36">
        <f t="shared" ca="1" si="1"/>
        <v>-20</v>
      </c>
      <c r="J18" s="3"/>
      <c r="K18" s="44" t="s">
        <v>27</v>
      </c>
      <c r="L18" s="22">
        <f ca="1">DATE(2025,$A$2,20)</f>
        <v>45677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Savings_1[[#This Row],[Planned]]-Savings_1[[#This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500</v>
      </c>
      <c r="I19" s="36">
        <f t="shared" ca="1" si="1"/>
        <v>-300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Savings_1[[#This Row],[Planned]]-Savings_1[[#This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100</v>
      </c>
      <c r="I20" s="36">
        <f t="shared" ca="1" si="1"/>
        <v>100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Savings_1[[#This Row],[Planned]]-Savings_1[[#This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80</v>
      </c>
      <c r="I21" s="36">
        <f t="shared" ca="1" si="1"/>
        <v>70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Savings_1[[#This Row],[Planned]]-Savings_1[[#This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Savings_1[[#This Row],[Planned]]-Savings_1[[#This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Savings_1[[#This Row],[Planned]]-Savings_1[[#This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Savings_1[[#This Row],[Planned]]-Savings_1[[#This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Savings_1[[#This Row],[Planned]]-Savings_1[[#This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Savings_1[[#This Row],[Planned]]-Savings_1[[#This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Savings_1[[#This Row],[Planned]]-Savings_1[[#This Row],[Actual]]</f>
        <v>0</v>
      </c>
    </row>
    <row r="28" spans="1:24" ht="16.5" x14ac:dyDescent="0.3">
      <c r="A28" s="32" t="s">
        <v>44</v>
      </c>
      <c r="B28" s="33">
        <f>SUBTOTAL(109,Income_1[Planned])</f>
        <v>5700</v>
      </c>
      <c r="C28" s="33">
        <f ca="1">SUBTOTAL(109,Income_1[Actual])</f>
        <v>5655.5</v>
      </c>
      <c r="D28" s="33">
        <f ca="1">SUBTOTAL(109,Income_1[Left])</f>
        <v>-44.5</v>
      </c>
      <c r="E28" s="3"/>
      <c r="F28" s="8" t="s">
        <v>44</v>
      </c>
      <c r="G28" s="88">
        <f>SUBTOTAL(109,Expenses_1[Planned])</f>
        <v>3795</v>
      </c>
      <c r="H28" s="88">
        <f ca="1">SUBTOTAL(109,Expenses_1[Actual])</f>
        <v>4810</v>
      </c>
      <c r="I28" s="88">
        <f ca="1">SUBTOTAL(109,Expenses_1[Left])</f>
        <v>-1015</v>
      </c>
      <c r="J28" s="9"/>
      <c r="K28" s="10" t="s">
        <v>44</v>
      </c>
      <c r="L28" s="10"/>
      <c r="M28" s="11">
        <f>SUBTOTAL(109,Bills_1[Planned])</f>
        <v>2515</v>
      </c>
      <c r="N28" s="11">
        <f>SUBTOTAL(103,Bills_1[Actual])</f>
        <v>0</v>
      </c>
      <c r="O28" s="9"/>
      <c r="P28" s="12" t="s">
        <v>44</v>
      </c>
      <c r="Q28" s="12"/>
      <c r="R28" s="72">
        <f>SUBTOTAL(109,Subscriptions_1[Planned])</f>
        <v>211.67000000000002</v>
      </c>
      <c r="S28" s="72">
        <f>SUBTOTAL(109,Subscriptions_1[Actual])</f>
        <v>0</v>
      </c>
      <c r="T28" s="9"/>
      <c r="U28" s="13" t="s">
        <v>44</v>
      </c>
      <c r="V28" s="73">
        <f>SUBTOTAL(109,Savings_1[Planned])</f>
        <v>1905</v>
      </c>
      <c r="W28" s="73">
        <f>SUBTOTAL(109,Savings_1[Actual])</f>
        <v>0</v>
      </c>
      <c r="X28" s="74">
        <f>SUBTOTAL(109,Savings_1[Left])</f>
        <v>1905</v>
      </c>
    </row>
    <row r="33" spans="16:17" x14ac:dyDescent="0.25">
      <c r="P33" s="1"/>
      <c r="Q33" s="1"/>
    </row>
  </sheetData>
  <mergeCells count="7">
    <mergeCell ref="P11:S11"/>
    <mergeCell ref="A1:C1"/>
    <mergeCell ref="A2:C2"/>
    <mergeCell ref="K11:N11"/>
    <mergeCell ref="U11:X11"/>
    <mergeCell ref="A11:D11"/>
    <mergeCell ref="F11:I11"/>
  </mergeCells>
  <conditionalFormatting sqref="L13:L27">
    <cfRule type="cellIs" dxfId="68" priority="2" operator="lessThan">
      <formula>TODAY()</formula>
    </cfRule>
  </conditionalFormatting>
  <conditionalFormatting sqref="Q13:Q17">
    <cfRule type="cellIs" dxfId="67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764EA-A62F-43AC-9E87-D1D3B3C1C232}">
  <sheetPr codeName="Sheet2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2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45698</v>
      </c>
      <c r="M13" s="14">
        <v>2200</v>
      </c>
      <c r="N13" s="45"/>
      <c r="O13" s="3"/>
      <c r="P13" s="54" t="s">
        <v>35</v>
      </c>
      <c r="Q13" s="28">
        <f ca="1">DATE(2025,$A$2,26)</f>
        <v>45714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Savings_2[[#This Row],[Planned]]-Savings_2[[#This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115</v>
      </c>
      <c r="D14" s="16">
        <f t="shared" ref="D14:D27" ca="1" si="0">C14-B14</f>
        <v>-185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0</v>
      </c>
      <c r="I14" s="36">
        <f t="shared" ref="I14:I27" ca="1" si="1">G14-H14</f>
        <v>200</v>
      </c>
      <c r="J14" s="3"/>
      <c r="K14" s="44" t="s">
        <v>23</v>
      </c>
      <c r="L14" s="22">
        <f ca="1">DATE(2025,$A$2,15)</f>
        <v>45703</v>
      </c>
      <c r="M14" s="14">
        <v>115</v>
      </c>
      <c r="N14" s="45"/>
      <c r="O14" s="3"/>
      <c r="P14" s="54" t="s">
        <v>34</v>
      </c>
      <c r="Q14" s="28">
        <f ca="1">DATE(2025,$A$2,19)</f>
        <v>45707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Savings_2[[#This Row],[Planned]]-Savings_2[[#This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0</v>
      </c>
      <c r="D15" s="16">
        <f t="shared" ca="1" si="0"/>
        <v>-500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350</v>
      </c>
      <c r="I15" s="36">
        <f t="shared" ca="1" si="1"/>
        <v>-50</v>
      </c>
      <c r="J15" s="3"/>
      <c r="K15" s="44" t="s">
        <v>24</v>
      </c>
      <c r="L15" s="22">
        <f t="shared" ref="L15:L16" ca="1" si="2">DATE(2025,$A$2,10)</f>
        <v>45698</v>
      </c>
      <c r="M15" s="14">
        <v>65</v>
      </c>
      <c r="N15" s="45"/>
      <c r="O15" s="3"/>
      <c r="P15" s="54" t="s">
        <v>39</v>
      </c>
      <c r="Q15" s="28">
        <f ca="1">DATE(2025,$A$2,19)</f>
        <v>45707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Savings_2[[#This Row],[Planned]]-Savings_2[[#This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1950</v>
      </c>
      <c r="D16" s="16">
        <f t="shared" ca="1" si="0"/>
        <v>1850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405.5</v>
      </c>
      <c r="I16" s="36">
        <f t="shared" ca="1" si="1"/>
        <v>344.5</v>
      </c>
      <c r="J16" s="3"/>
      <c r="K16" s="44" t="s">
        <v>25</v>
      </c>
      <c r="L16" s="22">
        <f t="shared" ca="1" si="2"/>
        <v>45698</v>
      </c>
      <c r="M16" s="14">
        <v>40</v>
      </c>
      <c r="N16" s="45"/>
      <c r="O16" s="3"/>
      <c r="P16" s="54" t="s">
        <v>40</v>
      </c>
      <c r="Q16" s="28">
        <f ca="1">DATE(2025,$A$2,26)</f>
        <v>45714</v>
      </c>
      <c r="R16" s="29">
        <v>100</v>
      </c>
      <c r="S16" s="55"/>
      <c r="T16" s="3"/>
      <c r="U16" s="64"/>
      <c r="V16" s="7"/>
      <c r="W16" s="65"/>
      <c r="X16" s="65">
        <f>Savings_2[[#This Row],[Planned]]-Savings_2[[#This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250</v>
      </c>
      <c r="I17" s="36">
        <f t="shared" ca="1" si="1"/>
        <v>-120</v>
      </c>
      <c r="J17" s="3"/>
      <c r="K17" s="44" t="s">
        <v>26</v>
      </c>
      <c r="L17" s="22">
        <f ca="1">DATE(2025,$A$2,28)</f>
        <v>45716</v>
      </c>
      <c r="M17" s="14">
        <v>35</v>
      </c>
      <c r="N17" s="45"/>
      <c r="O17" s="3"/>
      <c r="P17" s="54" t="s">
        <v>41</v>
      </c>
      <c r="Q17" s="28">
        <f ca="1">DATE(2025,$A$2,23)</f>
        <v>45711</v>
      </c>
      <c r="R17" s="29">
        <v>42.69</v>
      </c>
      <c r="S17" s="55"/>
      <c r="T17" s="3"/>
      <c r="U17" s="64"/>
      <c r="V17" s="7"/>
      <c r="W17" s="65"/>
      <c r="X17" s="65">
        <f>Savings_2[[#This Row],[Planned]]-Savings_2[[#This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150</v>
      </c>
      <c r="I18" s="36">
        <f t="shared" ca="1" si="1"/>
        <v>-20</v>
      </c>
      <c r="J18" s="3"/>
      <c r="K18" s="44" t="s">
        <v>27</v>
      </c>
      <c r="L18" s="22">
        <f ca="1">DATE(2025,$A$2,20)</f>
        <v>45708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Savings_2[[#This Row],[Planned]]-Savings_2[[#This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765</v>
      </c>
      <c r="I19" s="36">
        <f t="shared" ca="1" si="1"/>
        <v>-565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Savings_2[[#This Row],[Planned]]-Savings_2[[#This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100</v>
      </c>
      <c r="I20" s="36">
        <f t="shared" ca="1" si="1"/>
        <v>100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Savings_2[[#This Row],[Planned]]-Savings_2[[#This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80</v>
      </c>
      <c r="I21" s="36">
        <f t="shared" ca="1" si="1"/>
        <v>70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Savings_2[[#This Row],[Planned]]-Savings_2[[#This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Savings_2[[#This Row],[Planned]]-Savings_2[[#This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Savings_2[[#This Row],[Planned]]-Savings_2[[#This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Savings_2[[#This Row],[Planned]]-Savings_2[[#This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Savings_2[[#This Row],[Planned]]-Savings_2[[#This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Savings_2[[#This Row],[Planned]]-Savings_2[[#This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Savings_2[[#This Row],[Planned]]-Savings_2[[#This Row],[Actual]]</f>
        <v>0</v>
      </c>
    </row>
    <row r="28" spans="1:24" ht="16.5" x14ac:dyDescent="0.3">
      <c r="A28" s="32" t="s">
        <v>44</v>
      </c>
      <c r="B28" s="33">
        <f>SUBTOTAL(109,Income_2[Planned])</f>
        <v>5700</v>
      </c>
      <c r="C28" s="33">
        <f ca="1">SUBTOTAL(109,Income_2[Actual])</f>
        <v>6565</v>
      </c>
      <c r="D28" s="33">
        <f ca="1">SUBTOTAL(109,Income_2[Left])</f>
        <v>865</v>
      </c>
      <c r="E28" s="3"/>
      <c r="F28" s="8" t="s">
        <v>44</v>
      </c>
      <c r="G28" s="88">
        <f>SUBTOTAL(109,Expenses_2[Planned])</f>
        <v>3795</v>
      </c>
      <c r="H28" s="88">
        <f ca="1">SUBTOTAL(109,Expenses_2[Actual])</f>
        <v>4100.5</v>
      </c>
      <c r="I28" s="88">
        <f ca="1">SUBTOTAL(109,Expenses_2[Left])</f>
        <v>-305.5</v>
      </c>
      <c r="J28" s="9"/>
      <c r="K28" s="10" t="s">
        <v>44</v>
      </c>
      <c r="L28" s="10"/>
      <c r="M28" s="11">
        <f>SUBTOTAL(109,Bills_2[Planned])</f>
        <v>2515</v>
      </c>
      <c r="N28" s="11">
        <f>SUBTOTAL(103,Bills_2[Actual])</f>
        <v>0</v>
      </c>
      <c r="O28" s="9"/>
      <c r="P28" s="12" t="s">
        <v>44</v>
      </c>
      <c r="Q28" s="12"/>
      <c r="R28" s="72">
        <f>SUBTOTAL(109,Subscriptions_2[Planned])</f>
        <v>211.67000000000002</v>
      </c>
      <c r="S28" s="72">
        <f>SUBTOTAL(109,Subscriptions_2[Actual])</f>
        <v>0</v>
      </c>
      <c r="T28" s="9"/>
      <c r="U28" s="13" t="s">
        <v>44</v>
      </c>
      <c r="V28" s="73">
        <f>SUBTOTAL(109,Savings_2[Planned])</f>
        <v>1905</v>
      </c>
      <c r="W28" s="73">
        <f>SUBTOTAL(109,Savings_2[Actual])</f>
        <v>0</v>
      </c>
      <c r="X28" s="74">
        <f>SUBTOTAL(109,Savings_2[Left])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6" priority="2" operator="lessThan">
      <formula>TODAY()</formula>
    </cfRule>
  </conditionalFormatting>
  <conditionalFormatting sqref="Q13:Q17">
    <cfRule type="cellIs" dxfId="65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207CD-C9B8-44A3-82BA-FE14CF6A2454}">
  <sheetPr codeName="Sheet3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3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45726</v>
      </c>
      <c r="M13" s="14">
        <v>2200</v>
      </c>
      <c r="N13" s="45"/>
      <c r="O13" s="3"/>
      <c r="P13" s="54" t="s">
        <v>35</v>
      </c>
      <c r="Q13" s="28">
        <f ca="1">DATE(2025,$A$2,26)</f>
        <v>45742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Savings_3[[#This Row],[Planned]]-Savings_3[[#This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150</v>
      </c>
      <c r="D14" s="16">
        <f t="shared" ref="D14:D27" ca="1" si="0">C14-B14</f>
        <v>-150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469.9</v>
      </c>
      <c r="I14" s="36">
        <f t="shared" ref="I14:I27" ca="1" si="1">G14-H14</f>
        <v>-269.89999999999998</v>
      </c>
      <c r="J14" s="3"/>
      <c r="K14" s="44" t="s">
        <v>23</v>
      </c>
      <c r="L14" s="22">
        <f ca="1">DATE(2025,$A$2,15)</f>
        <v>45731</v>
      </c>
      <c r="M14" s="14">
        <v>115</v>
      </c>
      <c r="N14" s="45"/>
      <c r="O14" s="3"/>
      <c r="P14" s="54" t="s">
        <v>34</v>
      </c>
      <c r="Q14" s="28">
        <f ca="1">DATE(2025,$A$2,19)</f>
        <v>45735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Savings_3[[#This Row],[Planned]]-Savings_3[[#This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5</v>
      </c>
      <c r="D15" s="16">
        <f t="shared" ca="1" si="0"/>
        <v>-495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200</v>
      </c>
      <c r="I15" s="36">
        <f t="shared" ca="1" si="1"/>
        <v>100</v>
      </c>
      <c r="J15" s="3"/>
      <c r="K15" s="44" t="s">
        <v>24</v>
      </c>
      <c r="L15" s="22">
        <f t="shared" ref="L15:L16" ca="1" si="2">DATE(2025,$A$2,10)</f>
        <v>45726</v>
      </c>
      <c r="M15" s="14">
        <v>65</v>
      </c>
      <c r="N15" s="45"/>
      <c r="O15" s="3"/>
      <c r="P15" s="54" t="s">
        <v>39</v>
      </c>
      <c r="Q15" s="28">
        <f ca="1">DATE(2025,$A$2,19)</f>
        <v>45735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Savings_3[[#This Row],[Planned]]-Savings_3[[#This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734.99</v>
      </c>
      <c r="I16" s="36">
        <f t="shared" ca="1" si="1"/>
        <v>15.009999999999991</v>
      </c>
      <c r="J16" s="3"/>
      <c r="K16" s="44" t="s">
        <v>25</v>
      </c>
      <c r="L16" s="22">
        <f t="shared" ca="1" si="2"/>
        <v>45726</v>
      </c>
      <c r="M16" s="14">
        <v>40</v>
      </c>
      <c r="N16" s="45"/>
      <c r="O16" s="3"/>
      <c r="P16" s="54" t="s">
        <v>40</v>
      </c>
      <c r="Q16" s="28">
        <f ca="1">DATE(2025,$A$2,26)</f>
        <v>45742</v>
      </c>
      <c r="R16" s="29">
        <v>100</v>
      </c>
      <c r="S16" s="55"/>
      <c r="T16" s="3"/>
      <c r="U16" s="64"/>
      <c r="V16" s="7"/>
      <c r="W16" s="65"/>
      <c r="X16" s="65">
        <f>Savings_3[[#This Row],[Planned]]-Savings_3[[#This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9.5</v>
      </c>
      <c r="I17" s="36">
        <f t="shared" ca="1" si="1"/>
        <v>120.5</v>
      </c>
      <c r="J17" s="3"/>
      <c r="K17" s="44" t="s">
        <v>26</v>
      </c>
      <c r="L17" s="22">
        <f ca="1">DATE(2025,$A$2,28)</f>
        <v>45744</v>
      </c>
      <c r="M17" s="14">
        <v>35</v>
      </c>
      <c r="N17" s="45"/>
      <c r="O17" s="3"/>
      <c r="P17" s="54" t="s">
        <v>41</v>
      </c>
      <c r="Q17" s="28">
        <f ca="1">DATE(2025,$A$2,23)</f>
        <v>45739</v>
      </c>
      <c r="R17" s="29">
        <v>42.69</v>
      </c>
      <c r="S17" s="55"/>
      <c r="T17" s="3"/>
      <c r="U17" s="64"/>
      <c r="V17" s="7"/>
      <c r="W17" s="65"/>
      <c r="X17" s="65">
        <f>Savings_3[[#This Row],[Planned]]-Savings_3[[#This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23</v>
      </c>
      <c r="I18" s="36">
        <f t="shared" ca="1" si="1"/>
        <v>107</v>
      </c>
      <c r="J18" s="3"/>
      <c r="K18" s="44" t="s">
        <v>27</v>
      </c>
      <c r="L18" s="22">
        <f ca="1">DATE(2025,$A$2,20)</f>
        <v>45736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Savings_3[[#This Row],[Planned]]-Savings_3[[#This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300</v>
      </c>
      <c r="I19" s="36">
        <f t="shared" ca="1" si="1"/>
        <v>-100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Savings_3[[#This Row],[Planned]]-Savings_3[[#This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79.5</v>
      </c>
      <c r="I20" s="36">
        <f t="shared" ca="1" si="1"/>
        <v>120.5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Savings_3[[#This Row],[Planned]]-Savings_3[[#This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82.5</v>
      </c>
      <c r="I21" s="36">
        <f t="shared" ca="1" si="1"/>
        <v>67.5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Savings_3[[#This Row],[Planned]]-Savings_3[[#This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Savings_3[[#This Row],[Planned]]-Savings_3[[#This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Savings_3[[#This Row],[Planned]]-Savings_3[[#This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Savings_3[[#This Row],[Planned]]-Savings_3[[#This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Savings_3[[#This Row],[Planned]]-Savings_3[[#This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Savings_3[[#This Row],[Planned]]-Savings_3[[#This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Savings_3[[#This Row],[Planned]]-Savings_3[[#This Row],[Actual]]</f>
        <v>0</v>
      </c>
    </row>
    <row r="28" spans="1:24" ht="16.5" x14ac:dyDescent="0.3">
      <c r="A28" s="32" t="s">
        <v>44</v>
      </c>
      <c r="B28" s="33">
        <f>SUBTOTAL(109,Income_3[Planned])</f>
        <v>5700</v>
      </c>
      <c r="C28" s="33">
        <f ca="1">SUBTOTAL(109,Income_3[Actual])</f>
        <v>4655</v>
      </c>
      <c r="D28" s="33">
        <f ca="1">SUBTOTAL(109,Income_3[Left])</f>
        <v>-1045</v>
      </c>
      <c r="E28" s="3"/>
      <c r="F28" s="8" t="s">
        <v>44</v>
      </c>
      <c r="G28" s="88">
        <f>SUBTOTAL(109,Expenses_3[Planned])</f>
        <v>3795</v>
      </c>
      <c r="H28" s="88">
        <f ca="1">SUBTOTAL(109,Expenses_3[Actual])</f>
        <v>3899.3900000000003</v>
      </c>
      <c r="I28" s="88">
        <f ca="1">SUBTOTAL(109,Expenses_3[Left])</f>
        <v>-104.38999999999999</v>
      </c>
      <c r="J28" s="9"/>
      <c r="K28" s="10" t="s">
        <v>44</v>
      </c>
      <c r="L28" s="10"/>
      <c r="M28" s="11">
        <f>SUBTOTAL(109,Bills_3[Planned])</f>
        <v>2515</v>
      </c>
      <c r="N28" s="11">
        <f>SUBTOTAL(103,Bills_3[Actual])</f>
        <v>0</v>
      </c>
      <c r="O28" s="9"/>
      <c r="P28" s="12" t="s">
        <v>44</v>
      </c>
      <c r="Q28" s="12"/>
      <c r="R28" s="72">
        <f>SUBTOTAL(109,Subscriptions_3[Planned])</f>
        <v>211.67000000000002</v>
      </c>
      <c r="S28" s="72">
        <f>SUBTOTAL(109,Subscriptions_3[Actual])</f>
        <v>0</v>
      </c>
      <c r="T28" s="9"/>
      <c r="U28" s="13" t="s">
        <v>44</v>
      </c>
      <c r="V28" s="73">
        <f>SUBTOTAL(109,Savings_3[Planned])</f>
        <v>1905</v>
      </c>
      <c r="W28" s="73">
        <f>SUBTOTAL(109,Savings_3[Actual])</f>
        <v>0</v>
      </c>
      <c r="X28" s="74">
        <f>SUBTOTAL(109,Savings_3[Left])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4" priority="2" operator="lessThan">
      <formula>TODAY()</formula>
    </cfRule>
  </conditionalFormatting>
  <conditionalFormatting sqref="Q13:Q17">
    <cfRule type="cellIs" dxfId="63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53F7-F287-41A1-89B5-FA322576FA87}">
  <sheetPr codeName="Sheet4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4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45757</v>
      </c>
      <c r="M13" s="14">
        <v>2200</v>
      </c>
      <c r="N13" s="45"/>
      <c r="O13" s="3"/>
      <c r="P13" s="54" t="s">
        <v>35</v>
      </c>
      <c r="Q13" s="28">
        <f ca="1">DATE(2025,$A$2,26)</f>
        <v>45773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Savings_4[[#This Row],[Planned]]-Savings_4[[#This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150</v>
      </c>
      <c r="D14" s="16">
        <f t="shared" ref="D14:D27" ca="1" si="0">C14-B14</f>
        <v>-150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149</v>
      </c>
      <c r="I14" s="36">
        <f t="shared" ref="I14:I27" ca="1" si="1">G14-H14</f>
        <v>51</v>
      </c>
      <c r="J14" s="3"/>
      <c r="K14" s="44" t="s">
        <v>23</v>
      </c>
      <c r="L14" s="22">
        <f ca="1">DATE(2025,$A$2,15)</f>
        <v>45762</v>
      </c>
      <c r="M14" s="14">
        <v>115</v>
      </c>
      <c r="N14" s="45"/>
      <c r="O14" s="3"/>
      <c r="P14" s="54" t="s">
        <v>34</v>
      </c>
      <c r="Q14" s="28">
        <f ca="1">DATE(2025,$A$2,19)</f>
        <v>45766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Savings_4[[#This Row],[Planned]]-Savings_4[[#This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50</v>
      </c>
      <c r="D15" s="16">
        <f t="shared" ca="1" si="0"/>
        <v>-450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1057.9000000000001</v>
      </c>
      <c r="I15" s="36">
        <f t="shared" ca="1" si="1"/>
        <v>-757.90000000000009</v>
      </c>
      <c r="J15" s="3"/>
      <c r="K15" s="44" t="s">
        <v>24</v>
      </c>
      <c r="L15" s="22">
        <f t="shared" ref="L15:L16" ca="1" si="2">DATE(2025,$A$2,10)</f>
        <v>45757</v>
      </c>
      <c r="M15" s="14">
        <v>65</v>
      </c>
      <c r="N15" s="45"/>
      <c r="O15" s="3"/>
      <c r="P15" s="54" t="s">
        <v>39</v>
      </c>
      <c r="Q15" s="28">
        <f ca="1">DATE(2025,$A$2,19)</f>
        <v>45766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Savings_4[[#This Row],[Planned]]-Savings_4[[#This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372.26</v>
      </c>
      <c r="I16" s="36">
        <f t="shared" ca="1" si="1"/>
        <v>377.74</v>
      </c>
      <c r="J16" s="3"/>
      <c r="K16" s="44" t="s">
        <v>25</v>
      </c>
      <c r="L16" s="22">
        <f t="shared" ca="1" si="2"/>
        <v>45757</v>
      </c>
      <c r="M16" s="14">
        <v>40</v>
      </c>
      <c r="N16" s="45"/>
      <c r="O16" s="3"/>
      <c r="P16" s="54" t="s">
        <v>40</v>
      </c>
      <c r="Q16" s="28">
        <f ca="1">DATE(2025,$A$2,26)</f>
        <v>45773</v>
      </c>
      <c r="R16" s="29">
        <v>100</v>
      </c>
      <c r="S16" s="55"/>
      <c r="T16" s="3"/>
      <c r="U16" s="64"/>
      <c r="V16" s="7"/>
      <c r="W16" s="65"/>
      <c r="X16" s="65">
        <f>Savings_4[[#This Row],[Planned]]-Savings_4[[#This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23.5</v>
      </c>
      <c r="I17" s="36">
        <f t="shared" ca="1" si="1"/>
        <v>106.5</v>
      </c>
      <c r="J17" s="3"/>
      <c r="K17" s="44" t="s">
        <v>26</v>
      </c>
      <c r="L17" s="22">
        <f ca="1">DATE(2025,$A$2,28)</f>
        <v>45775</v>
      </c>
      <c r="M17" s="14">
        <v>35</v>
      </c>
      <c r="N17" s="45"/>
      <c r="O17" s="3"/>
      <c r="P17" s="54" t="s">
        <v>41</v>
      </c>
      <c r="Q17" s="28">
        <f ca="1">DATE(2025,$A$2,23)</f>
        <v>45770</v>
      </c>
      <c r="R17" s="29">
        <v>42.69</v>
      </c>
      <c r="S17" s="55"/>
      <c r="T17" s="3"/>
      <c r="U17" s="64"/>
      <c r="V17" s="7"/>
      <c r="W17" s="65"/>
      <c r="X17" s="65">
        <f>Savings_4[[#This Row],[Planned]]-Savings_4[[#This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49</v>
      </c>
      <c r="I18" s="36">
        <f t="shared" ca="1" si="1"/>
        <v>81</v>
      </c>
      <c r="J18" s="3"/>
      <c r="K18" s="44" t="s">
        <v>27</v>
      </c>
      <c r="L18" s="22">
        <f ca="1">DATE(2025,$A$2,20)</f>
        <v>45767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Savings_4[[#This Row],[Planned]]-Savings_4[[#This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100</v>
      </c>
      <c r="I19" s="36">
        <f t="shared" ca="1" si="1"/>
        <v>100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Savings_4[[#This Row],[Planned]]-Savings_4[[#This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139</v>
      </c>
      <c r="I20" s="36">
        <f t="shared" ca="1" si="1"/>
        <v>61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Savings_4[[#This Row],[Planned]]-Savings_4[[#This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82.5</v>
      </c>
      <c r="I21" s="36">
        <f t="shared" ca="1" si="1"/>
        <v>67.5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Savings_4[[#This Row],[Planned]]-Savings_4[[#This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Savings_4[[#This Row],[Planned]]-Savings_4[[#This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Savings_4[[#This Row],[Planned]]-Savings_4[[#This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Savings_4[[#This Row],[Planned]]-Savings_4[[#This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Savings_4[[#This Row],[Planned]]-Savings_4[[#This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Savings_4[[#This Row],[Planned]]-Savings_4[[#This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Savings_4[[#This Row],[Planned]]-Savings_4[[#This Row],[Actual]]</f>
        <v>0</v>
      </c>
    </row>
    <row r="28" spans="1:24" ht="16.5" x14ac:dyDescent="0.3">
      <c r="A28" s="32" t="s">
        <v>44</v>
      </c>
      <c r="B28" s="33">
        <f>SUBTOTAL(109,Income_4[Planned])</f>
        <v>5700</v>
      </c>
      <c r="C28" s="33">
        <f ca="1">SUBTOTAL(109,Income_4[Actual])</f>
        <v>4700</v>
      </c>
      <c r="D28" s="33">
        <f ca="1">SUBTOTAL(109,Income_4[Left])</f>
        <v>-1000</v>
      </c>
      <c r="E28" s="3"/>
      <c r="F28" s="8" t="s">
        <v>44</v>
      </c>
      <c r="G28" s="88">
        <f>SUBTOTAL(109,Expenses_4[Planned])</f>
        <v>3795</v>
      </c>
      <c r="H28" s="88">
        <f ca="1">SUBTOTAL(109,Expenses_4[Actual])</f>
        <v>3973.16</v>
      </c>
      <c r="I28" s="88">
        <f ca="1">SUBTOTAL(109,Expenses_4[Left])</f>
        <v>-178.16000000000008</v>
      </c>
      <c r="J28" s="9"/>
      <c r="K28" s="10" t="s">
        <v>44</v>
      </c>
      <c r="L28" s="10"/>
      <c r="M28" s="11">
        <f>SUBTOTAL(109,Bills_4[Planned])</f>
        <v>2515</v>
      </c>
      <c r="N28" s="11">
        <f>SUBTOTAL(103,Bills_4[Actual])</f>
        <v>0</v>
      </c>
      <c r="O28" s="9"/>
      <c r="P28" s="12" t="s">
        <v>44</v>
      </c>
      <c r="Q28" s="12"/>
      <c r="R28" s="72">
        <f>SUBTOTAL(109,Subscriptions_4[Planned])</f>
        <v>211.67000000000002</v>
      </c>
      <c r="S28" s="72">
        <f>SUBTOTAL(109,Subscriptions_4[Actual])</f>
        <v>0</v>
      </c>
      <c r="T28" s="9"/>
      <c r="U28" s="13" t="s">
        <v>44</v>
      </c>
      <c r="V28" s="73">
        <f>SUBTOTAL(109,Savings_4[Planned])</f>
        <v>1905</v>
      </c>
      <c r="W28" s="73">
        <f>SUBTOTAL(109,Savings_4[Actual])</f>
        <v>0</v>
      </c>
      <c r="X28" s="74">
        <f>SUBTOTAL(109,Savings_4[Left])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2" priority="2" operator="lessThan">
      <formula>TODAY()</formula>
    </cfRule>
  </conditionalFormatting>
  <conditionalFormatting sqref="Q13:Q17">
    <cfRule type="cellIs" dxfId="61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A6C23-0CEE-4158-AB03-C23D720E0A5D}">
  <sheetPr codeName="Sheet5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5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45787</v>
      </c>
      <c r="M13" s="14">
        <v>2200</v>
      </c>
      <c r="N13" s="45"/>
      <c r="O13" s="3"/>
      <c r="P13" s="54" t="s">
        <v>35</v>
      </c>
      <c r="Q13" s="28">
        <f ca="1">DATE(2025,$A$2,26)</f>
        <v>45803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Savings_5[[#This Row],[Planned]]-Savings_5[[#This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0</v>
      </c>
      <c r="D14" s="16">
        <f t="shared" ref="D14:D27" ca="1" si="0">C14-B14</f>
        <v>-300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0</v>
      </c>
      <c r="I14" s="36">
        <f t="shared" ref="I14:I27" ca="1" si="1">G14-H14</f>
        <v>200</v>
      </c>
      <c r="J14" s="3"/>
      <c r="K14" s="44" t="s">
        <v>23</v>
      </c>
      <c r="L14" s="22">
        <f ca="1">DATE(2025,$A$2,15)</f>
        <v>45792</v>
      </c>
      <c r="M14" s="14">
        <v>115</v>
      </c>
      <c r="N14" s="45"/>
      <c r="O14" s="3"/>
      <c r="P14" s="54" t="s">
        <v>34</v>
      </c>
      <c r="Q14" s="28">
        <f ca="1">DATE(2025,$A$2,19)</f>
        <v>45796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Savings_5[[#This Row],[Planned]]-Savings_5[[#This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0</v>
      </c>
      <c r="D15" s="16">
        <f t="shared" ca="1" si="0"/>
        <v>-500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80</v>
      </c>
      <c r="I15" s="36">
        <f t="shared" ca="1" si="1"/>
        <v>220</v>
      </c>
      <c r="J15" s="3"/>
      <c r="K15" s="44" t="s">
        <v>24</v>
      </c>
      <c r="L15" s="22">
        <f t="shared" ref="L15:L16" ca="1" si="2">DATE(2025,$A$2,10)</f>
        <v>45787</v>
      </c>
      <c r="M15" s="14">
        <v>65</v>
      </c>
      <c r="N15" s="45"/>
      <c r="O15" s="3"/>
      <c r="P15" s="54" t="s">
        <v>39</v>
      </c>
      <c r="Q15" s="28">
        <f ca="1">DATE(2025,$A$2,19)</f>
        <v>45796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Savings_5[[#This Row],[Planned]]-Savings_5[[#This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1000</v>
      </c>
      <c r="I16" s="36">
        <f t="shared" ca="1" si="1"/>
        <v>-250</v>
      </c>
      <c r="J16" s="3"/>
      <c r="K16" s="44" t="s">
        <v>25</v>
      </c>
      <c r="L16" s="22">
        <f t="shared" ca="1" si="2"/>
        <v>45787</v>
      </c>
      <c r="M16" s="14">
        <v>40</v>
      </c>
      <c r="N16" s="45"/>
      <c r="O16" s="3"/>
      <c r="P16" s="54" t="s">
        <v>40</v>
      </c>
      <c r="Q16" s="28">
        <f ca="1">DATE(2025,$A$2,26)</f>
        <v>45803</v>
      </c>
      <c r="R16" s="29">
        <v>100</v>
      </c>
      <c r="S16" s="55"/>
      <c r="T16" s="3"/>
      <c r="U16" s="64"/>
      <c r="V16" s="7"/>
      <c r="W16" s="65"/>
      <c r="X16" s="65">
        <f>Savings_5[[#This Row],[Planned]]-Savings_5[[#This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0</v>
      </c>
      <c r="I17" s="36">
        <f t="shared" ca="1" si="1"/>
        <v>130</v>
      </c>
      <c r="J17" s="3"/>
      <c r="K17" s="44" t="s">
        <v>26</v>
      </c>
      <c r="L17" s="22">
        <f ca="1">DATE(2025,$A$2,28)</f>
        <v>45805</v>
      </c>
      <c r="M17" s="14">
        <v>35</v>
      </c>
      <c r="N17" s="45"/>
      <c r="O17" s="3"/>
      <c r="P17" s="54" t="s">
        <v>41</v>
      </c>
      <c r="Q17" s="28">
        <f ca="1">DATE(2025,$A$2,23)</f>
        <v>45800</v>
      </c>
      <c r="R17" s="29">
        <v>42.69</v>
      </c>
      <c r="S17" s="55"/>
      <c r="T17" s="3"/>
      <c r="U17" s="64"/>
      <c r="V17" s="7"/>
      <c r="W17" s="65"/>
      <c r="X17" s="65">
        <f>Savings_5[[#This Row],[Planned]]-Savings_5[[#This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50</v>
      </c>
      <c r="I18" s="36">
        <f t="shared" ca="1" si="1"/>
        <v>80</v>
      </c>
      <c r="J18" s="3"/>
      <c r="K18" s="44" t="s">
        <v>27</v>
      </c>
      <c r="L18" s="22">
        <f ca="1">DATE(2025,$A$2,20)</f>
        <v>45797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Savings_5[[#This Row],[Planned]]-Savings_5[[#This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0</v>
      </c>
      <c r="I19" s="36">
        <f t="shared" ca="1" si="1"/>
        <v>200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Savings_5[[#This Row],[Planned]]-Savings_5[[#This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0</v>
      </c>
      <c r="I20" s="36">
        <f t="shared" ca="1" si="1"/>
        <v>200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Savings_5[[#This Row],[Planned]]-Savings_5[[#This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80</v>
      </c>
      <c r="I21" s="36">
        <f t="shared" ca="1" si="1"/>
        <v>70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Savings_5[[#This Row],[Planned]]-Savings_5[[#This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Savings_5[[#This Row],[Planned]]-Savings_5[[#This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Savings_5[[#This Row],[Planned]]-Savings_5[[#This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Savings_5[[#This Row],[Planned]]-Savings_5[[#This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Savings_5[[#This Row],[Planned]]-Savings_5[[#This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Savings_5[[#This Row],[Planned]]-Savings_5[[#This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Savings_5[[#This Row],[Planned]]-Savings_5[[#This Row],[Actual]]</f>
        <v>0</v>
      </c>
    </row>
    <row r="28" spans="1:24" ht="16.5" x14ac:dyDescent="0.3">
      <c r="A28" s="32" t="s">
        <v>44</v>
      </c>
      <c r="B28" s="33">
        <f>SUBTOTAL(109,Income_5[Planned])</f>
        <v>5700</v>
      </c>
      <c r="C28" s="33">
        <f ca="1">SUBTOTAL(109,Income_5[Actual])</f>
        <v>4500</v>
      </c>
      <c r="D28" s="33">
        <f ca="1">SUBTOTAL(109,Income_5[Left])</f>
        <v>-1200</v>
      </c>
      <c r="E28" s="3"/>
      <c r="F28" s="8" t="s">
        <v>44</v>
      </c>
      <c r="G28" s="88">
        <f>SUBTOTAL(109,Expenses_5[Planned])</f>
        <v>3795</v>
      </c>
      <c r="H28" s="88">
        <f ca="1">SUBTOTAL(109,Expenses_5[Actual])</f>
        <v>3210</v>
      </c>
      <c r="I28" s="88">
        <f ca="1">SUBTOTAL(109,Expenses_5[Left])</f>
        <v>585</v>
      </c>
      <c r="J28" s="9"/>
      <c r="K28" s="10" t="s">
        <v>44</v>
      </c>
      <c r="L28" s="10"/>
      <c r="M28" s="11">
        <f>SUBTOTAL(109,Bills_5[Planned])</f>
        <v>2515</v>
      </c>
      <c r="N28" s="11">
        <f>SUBTOTAL(103,Bills_5[Actual])</f>
        <v>0</v>
      </c>
      <c r="O28" s="9"/>
      <c r="P28" s="12" t="s">
        <v>44</v>
      </c>
      <c r="Q28" s="12"/>
      <c r="R28" s="72">
        <f>SUBTOTAL(109,Subscriptions_5[Planned])</f>
        <v>211.67000000000002</v>
      </c>
      <c r="S28" s="72">
        <f>SUBTOTAL(109,Subscriptions_5[Actual])</f>
        <v>0</v>
      </c>
      <c r="T28" s="9"/>
      <c r="U28" s="13" t="s">
        <v>44</v>
      </c>
      <c r="V28" s="73">
        <f>SUBTOTAL(109,Savings_5[Planned])</f>
        <v>1905</v>
      </c>
      <c r="W28" s="73">
        <f>SUBTOTAL(109,Savings_5[Actual])</f>
        <v>0</v>
      </c>
      <c r="X28" s="74">
        <f>SUBTOTAL(109,Savings_5[Left])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60" priority="2" operator="lessThan">
      <formula>TODAY()</formula>
    </cfRule>
  </conditionalFormatting>
  <conditionalFormatting sqref="Q13:Q17">
    <cfRule type="cellIs" dxfId="59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A3AFC-7E82-40D1-ABD4-72A0289A0422}">
  <sheetPr codeName="Sheet6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6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400</v>
      </c>
      <c r="D13" s="16">
        <f ca="1">C13-B13</f>
        <v>-2100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45818</v>
      </c>
      <c r="M13" s="14">
        <v>2200</v>
      </c>
      <c r="N13" s="45"/>
      <c r="O13" s="3"/>
      <c r="P13" s="54" t="s">
        <v>35</v>
      </c>
      <c r="Q13" s="28">
        <f ca="1">DATE(2025,$A$2,26)</f>
        <v>45834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Savings_6[[#This Row],[Planned]]-Savings_6[[#This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0</v>
      </c>
      <c r="D14" s="16">
        <f t="shared" ref="D14:D27" ca="1" si="0">C14-B14</f>
        <v>-300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300</v>
      </c>
      <c r="I14" s="36">
        <f t="shared" ref="I14:I27" ca="1" si="1">G14-H14</f>
        <v>-100</v>
      </c>
      <c r="J14" s="3"/>
      <c r="K14" s="44" t="s">
        <v>23</v>
      </c>
      <c r="L14" s="22">
        <f ca="1">DATE(2025,$A$2,15)</f>
        <v>45823</v>
      </c>
      <c r="M14" s="14">
        <v>115</v>
      </c>
      <c r="N14" s="45"/>
      <c r="O14" s="3"/>
      <c r="P14" s="54" t="s">
        <v>34</v>
      </c>
      <c r="Q14" s="28">
        <f ca="1">DATE(2025,$A$2,19)</f>
        <v>45827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Savings_6[[#This Row],[Planned]]-Savings_6[[#This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0</v>
      </c>
      <c r="D15" s="16">
        <f t="shared" ca="1" si="0"/>
        <v>-500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200</v>
      </c>
      <c r="I15" s="36">
        <f t="shared" ca="1" si="1"/>
        <v>100</v>
      </c>
      <c r="J15" s="3"/>
      <c r="K15" s="44" t="s">
        <v>24</v>
      </c>
      <c r="L15" s="22">
        <f t="shared" ref="L15:L16" ca="1" si="2">DATE(2025,$A$2,10)</f>
        <v>45818</v>
      </c>
      <c r="M15" s="14">
        <v>65</v>
      </c>
      <c r="N15" s="45"/>
      <c r="O15" s="3"/>
      <c r="P15" s="54" t="s">
        <v>39</v>
      </c>
      <c r="Q15" s="28">
        <f ca="1">DATE(2025,$A$2,19)</f>
        <v>45827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Savings_6[[#This Row],[Planned]]-Savings_6[[#This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1000</v>
      </c>
      <c r="I16" s="36">
        <f t="shared" ca="1" si="1"/>
        <v>-250</v>
      </c>
      <c r="J16" s="3"/>
      <c r="K16" s="44" t="s">
        <v>25</v>
      </c>
      <c r="L16" s="22">
        <f t="shared" ca="1" si="2"/>
        <v>45818</v>
      </c>
      <c r="M16" s="14">
        <v>40</v>
      </c>
      <c r="N16" s="45"/>
      <c r="O16" s="3"/>
      <c r="P16" s="54" t="s">
        <v>40</v>
      </c>
      <c r="Q16" s="28">
        <f ca="1">DATE(2025,$A$2,26)</f>
        <v>45834</v>
      </c>
      <c r="R16" s="29">
        <v>100</v>
      </c>
      <c r="S16" s="55"/>
      <c r="T16" s="3"/>
      <c r="U16" s="64"/>
      <c r="V16" s="7"/>
      <c r="W16" s="65"/>
      <c r="X16" s="65">
        <f>Savings_6[[#This Row],[Planned]]-Savings_6[[#This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100</v>
      </c>
      <c r="I17" s="36">
        <f t="shared" ca="1" si="1"/>
        <v>30</v>
      </c>
      <c r="J17" s="3"/>
      <c r="K17" s="44" t="s">
        <v>26</v>
      </c>
      <c r="L17" s="22">
        <f ca="1">DATE(2025,$A$2,28)</f>
        <v>45836</v>
      </c>
      <c r="M17" s="14">
        <v>35</v>
      </c>
      <c r="N17" s="45"/>
      <c r="O17" s="3"/>
      <c r="P17" s="54" t="s">
        <v>41</v>
      </c>
      <c r="Q17" s="28">
        <f ca="1">DATE(2025,$A$2,23)</f>
        <v>45831</v>
      </c>
      <c r="R17" s="29">
        <v>42.69</v>
      </c>
      <c r="S17" s="55"/>
      <c r="T17" s="3"/>
      <c r="U17" s="64"/>
      <c r="V17" s="7"/>
      <c r="W17" s="65"/>
      <c r="X17" s="65">
        <f>Savings_6[[#This Row],[Planned]]-Savings_6[[#This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50</v>
      </c>
      <c r="I18" s="36">
        <f t="shared" ca="1" si="1"/>
        <v>80</v>
      </c>
      <c r="J18" s="3"/>
      <c r="K18" s="44" t="s">
        <v>27</v>
      </c>
      <c r="L18" s="22">
        <f ca="1">DATE(2025,$A$2,20)</f>
        <v>45828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Savings_6[[#This Row],[Planned]]-Savings_6[[#This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0</v>
      </c>
      <c r="I19" s="36">
        <f t="shared" ca="1" si="1"/>
        <v>200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Savings_6[[#This Row],[Planned]]-Savings_6[[#This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0</v>
      </c>
      <c r="I20" s="36">
        <f t="shared" ca="1" si="1"/>
        <v>200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Savings_6[[#This Row],[Planned]]-Savings_6[[#This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80</v>
      </c>
      <c r="I21" s="36">
        <f t="shared" ca="1" si="1"/>
        <v>70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Savings_6[[#This Row],[Planned]]-Savings_6[[#This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Savings_6[[#This Row],[Planned]]-Savings_6[[#This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Savings_6[[#This Row],[Planned]]-Savings_6[[#This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Savings_6[[#This Row],[Planned]]-Savings_6[[#This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Savings_6[[#This Row],[Planned]]-Savings_6[[#This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Savings_6[[#This Row],[Planned]]-Savings_6[[#This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Savings_6[[#This Row],[Planned]]-Savings_6[[#This Row],[Actual]]</f>
        <v>0</v>
      </c>
    </row>
    <row r="28" spans="1:24" ht="16.5" x14ac:dyDescent="0.3">
      <c r="A28" s="32" t="s">
        <v>44</v>
      </c>
      <c r="B28" s="33">
        <f>SUBTOTAL(109,Income_6[Planned])</f>
        <v>5700</v>
      </c>
      <c r="C28" s="33">
        <f ca="1">SUBTOTAL(109,Income_6[Actual])</f>
        <v>4900</v>
      </c>
      <c r="D28" s="33">
        <f ca="1">SUBTOTAL(109,Income_6[Left])</f>
        <v>-800</v>
      </c>
      <c r="E28" s="3"/>
      <c r="F28" s="8" t="s">
        <v>44</v>
      </c>
      <c r="G28" s="88">
        <f>SUBTOTAL(109,Expenses_6[Planned])</f>
        <v>3795</v>
      </c>
      <c r="H28" s="88">
        <f ca="1">SUBTOTAL(109,Expenses_6[Actual])</f>
        <v>3730</v>
      </c>
      <c r="I28" s="88">
        <f ca="1">SUBTOTAL(109,Expenses_6[Left])</f>
        <v>65</v>
      </c>
      <c r="J28" s="9"/>
      <c r="K28" s="10" t="s">
        <v>44</v>
      </c>
      <c r="L28" s="10"/>
      <c r="M28" s="11">
        <f>SUBTOTAL(109,Bills_6[Planned])</f>
        <v>2515</v>
      </c>
      <c r="N28" s="11">
        <f>SUBTOTAL(103,Bills_6[Actual])</f>
        <v>0</v>
      </c>
      <c r="O28" s="9"/>
      <c r="P28" s="12" t="s">
        <v>44</v>
      </c>
      <c r="Q28" s="12"/>
      <c r="R28" s="72">
        <f>SUBTOTAL(109,Subscriptions_6[Planned])</f>
        <v>211.67000000000002</v>
      </c>
      <c r="S28" s="72">
        <f>SUBTOTAL(109,Subscriptions_6[Actual])</f>
        <v>0</v>
      </c>
      <c r="T28" s="9"/>
      <c r="U28" s="13" t="s">
        <v>44</v>
      </c>
      <c r="V28" s="73">
        <f>SUBTOTAL(109,Savings_6[Planned])</f>
        <v>1905</v>
      </c>
      <c r="W28" s="73">
        <f>SUBTOTAL(109,Savings_6[Actual])</f>
        <v>0</v>
      </c>
      <c r="X28" s="74">
        <f>SUBTOTAL(109,Savings_6[Left])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58" priority="2" operator="lessThan">
      <formula>TODAY()</formula>
    </cfRule>
  </conditionalFormatting>
  <conditionalFormatting sqref="Q13:Q17">
    <cfRule type="cellIs" dxfId="57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8F39F-B5D6-4136-8977-96A6B92B9D24}">
  <sheetPr codeName="Sheet7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7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45848</v>
      </c>
      <c r="M13" s="14">
        <v>2200</v>
      </c>
      <c r="N13" s="45"/>
      <c r="O13" s="3"/>
      <c r="P13" s="54" t="s">
        <v>35</v>
      </c>
      <c r="Q13" s="28">
        <f ca="1">DATE(2025,$A$2,26)</f>
        <v>45864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Savings_7[[#This Row],[Planned]]-Savings_7[[#This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120</v>
      </c>
      <c r="D14" s="16">
        <f t="shared" ref="D14:D27" ca="1" si="0">C14-B14</f>
        <v>-180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-250</v>
      </c>
      <c r="I14" s="36">
        <f t="shared" ref="I14:I27" ca="1" si="1">G14-H14</f>
        <v>450</v>
      </c>
      <c r="J14" s="3"/>
      <c r="K14" s="44" t="s">
        <v>23</v>
      </c>
      <c r="L14" s="22">
        <f ca="1">DATE(2025,$A$2,15)</f>
        <v>45853</v>
      </c>
      <c r="M14" s="14">
        <v>115</v>
      </c>
      <c r="N14" s="45"/>
      <c r="O14" s="3"/>
      <c r="P14" s="54" t="s">
        <v>34</v>
      </c>
      <c r="Q14" s="28">
        <f ca="1">DATE(2025,$A$2,19)</f>
        <v>45857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Savings_7[[#This Row],[Planned]]-Savings_7[[#This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800</v>
      </c>
      <c r="D15" s="16">
        <f t="shared" ca="1" si="0"/>
        <v>300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700</v>
      </c>
      <c r="I15" s="36">
        <f t="shared" ca="1" si="1"/>
        <v>-400</v>
      </c>
      <c r="J15" s="3"/>
      <c r="K15" s="44" t="s">
        <v>24</v>
      </c>
      <c r="L15" s="22">
        <f t="shared" ref="L15:L16" ca="1" si="2">DATE(2025,$A$2,10)</f>
        <v>45848</v>
      </c>
      <c r="M15" s="14">
        <v>65</v>
      </c>
      <c r="N15" s="45"/>
      <c r="O15" s="3"/>
      <c r="P15" s="54" t="s">
        <v>39</v>
      </c>
      <c r="Q15" s="28">
        <f ca="1">DATE(2025,$A$2,19)</f>
        <v>45857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Savings_7[[#This Row],[Planned]]-Savings_7[[#This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165</v>
      </c>
      <c r="I16" s="36">
        <f t="shared" ca="1" si="1"/>
        <v>585</v>
      </c>
      <c r="J16" s="3"/>
      <c r="K16" s="44" t="s">
        <v>25</v>
      </c>
      <c r="L16" s="22">
        <f t="shared" ca="1" si="2"/>
        <v>45848</v>
      </c>
      <c r="M16" s="14">
        <v>40</v>
      </c>
      <c r="N16" s="45"/>
      <c r="O16" s="3"/>
      <c r="P16" s="54" t="s">
        <v>40</v>
      </c>
      <c r="Q16" s="28">
        <f ca="1">DATE(2025,$A$2,26)</f>
        <v>45864</v>
      </c>
      <c r="R16" s="29">
        <v>100</v>
      </c>
      <c r="S16" s="55"/>
      <c r="T16" s="3"/>
      <c r="U16" s="64"/>
      <c r="V16" s="7"/>
      <c r="W16" s="65"/>
      <c r="X16" s="65">
        <f>Savings_7[[#This Row],[Planned]]-Savings_7[[#This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300</v>
      </c>
      <c r="I17" s="36">
        <f t="shared" ca="1" si="1"/>
        <v>-170</v>
      </c>
      <c r="J17" s="3"/>
      <c r="K17" s="44" t="s">
        <v>26</v>
      </c>
      <c r="L17" s="22">
        <f ca="1">DATE(2025,$A$2,28)</f>
        <v>45866</v>
      </c>
      <c r="M17" s="14">
        <v>35</v>
      </c>
      <c r="N17" s="45"/>
      <c r="O17" s="3"/>
      <c r="P17" s="54" t="s">
        <v>41</v>
      </c>
      <c r="Q17" s="28">
        <f ca="1">DATE(2025,$A$2,23)</f>
        <v>45861</v>
      </c>
      <c r="R17" s="29">
        <v>42.69</v>
      </c>
      <c r="S17" s="55"/>
      <c r="T17" s="3"/>
      <c r="U17" s="64"/>
      <c r="V17" s="7"/>
      <c r="W17" s="65"/>
      <c r="X17" s="65">
        <f>Savings_7[[#This Row],[Planned]]-Savings_7[[#This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500</v>
      </c>
      <c r="D18" s="16">
        <f t="shared" ca="1" si="0"/>
        <v>-300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0</v>
      </c>
      <c r="I18" s="36">
        <f t="shared" ca="1" si="1"/>
        <v>130</v>
      </c>
      <c r="J18" s="3"/>
      <c r="K18" s="44" t="s">
        <v>27</v>
      </c>
      <c r="L18" s="22">
        <f ca="1">DATE(2025,$A$2,20)</f>
        <v>45858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Savings_7[[#This Row],[Planned]]-Savings_7[[#This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0</v>
      </c>
      <c r="I19" s="36">
        <f t="shared" ca="1" si="1"/>
        <v>200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Savings_7[[#This Row],[Planned]]-Savings_7[[#This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0</v>
      </c>
      <c r="I20" s="36">
        <f t="shared" ca="1" si="1"/>
        <v>200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Savings_7[[#This Row],[Planned]]-Savings_7[[#This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90</v>
      </c>
      <c r="I21" s="36">
        <f ca="1">G21-H21</f>
        <v>60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Savings_7[[#This Row],[Planned]]-Savings_7[[#This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Savings_7[[#This Row],[Planned]]-Savings_7[[#This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Savings_7[[#This Row],[Planned]]-Savings_7[[#This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Savings_7[[#This Row],[Planned]]-Savings_7[[#This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Savings_7[[#This Row],[Planned]]-Savings_7[[#This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Savings_7[[#This Row],[Planned]]-Savings_7[[#This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Savings_7[[#This Row],[Planned]]-Savings_7[[#This Row],[Actual]]</f>
        <v>0</v>
      </c>
    </row>
    <row r="28" spans="1:24" ht="16.5" x14ac:dyDescent="0.3">
      <c r="A28" s="32" t="s">
        <v>44</v>
      </c>
      <c r="B28" s="33">
        <f>SUBTOTAL(109,Income_7[Planned])</f>
        <v>5700</v>
      </c>
      <c r="C28" s="33">
        <f ca="1">SUBTOTAL(109,Income_7[Actual])</f>
        <v>5920</v>
      </c>
      <c r="D28" s="33">
        <f ca="1">SUBTOTAL(109,Income_7[Left])</f>
        <v>220</v>
      </c>
      <c r="E28" s="3"/>
      <c r="F28" s="8" t="s">
        <v>44</v>
      </c>
      <c r="G28" s="88">
        <f>SUBTOTAL(109,Expenses_7[Planned])</f>
        <v>3795</v>
      </c>
      <c r="H28" s="88">
        <f ca="1">SUBTOTAL(109,Expenses_7[Actual])</f>
        <v>3005</v>
      </c>
      <c r="I28" s="88">
        <f ca="1">SUBTOTAL(109,Expenses_7[Left])</f>
        <v>790</v>
      </c>
      <c r="J28" s="9"/>
      <c r="K28" s="10" t="s">
        <v>44</v>
      </c>
      <c r="L28" s="10"/>
      <c r="M28" s="11">
        <f>SUBTOTAL(109,Bills_7[Planned])</f>
        <v>2515</v>
      </c>
      <c r="N28" s="11">
        <f>SUBTOTAL(103,Bills_7[Actual])</f>
        <v>0</v>
      </c>
      <c r="O28" s="9"/>
      <c r="P28" s="12" t="s">
        <v>44</v>
      </c>
      <c r="Q28" s="12"/>
      <c r="R28" s="72">
        <f>SUBTOTAL(109,Subscriptions_7[Planned])</f>
        <v>211.67000000000002</v>
      </c>
      <c r="S28" s="72">
        <f>SUBTOTAL(109,Subscriptions_7[Actual])</f>
        <v>0</v>
      </c>
      <c r="T28" s="9"/>
      <c r="U28" s="13" t="s">
        <v>44</v>
      </c>
      <c r="V28" s="73">
        <f>SUBTOTAL(109,Savings_7[Planned])</f>
        <v>1905</v>
      </c>
      <c r="W28" s="73">
        <f>SUBTOTAL(109,Savings_7[Actual])</f>
        <v>0</v>
      </c>
      <c r="X28" s="74">
        <f>SUBTOTAL(109,Savings_7[Left])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56" priority="2" operator="lessThan">
      <formula>TODAY()</formula>
    </cfRule>
  </conditionalFormatting>
  <conditionalFormatting sqref="Q13:Q17">
    <cfRule type="cellIs" dxfId="55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9F69-3952-481D-B6F7-25FCD01C2DE9}">
  <sheetPr codeName="Sheet8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8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45879</v>
      </c>
      <c r="M13" s="14">
        <v>2200</v>
      </c>
      <c r="N13" s="45"/>
      <c r="O13" s="3"/>
      <c r="P13" s="54" t="s">
        <v>35</v>
      </c>
      <c r="Q13" s="28">
        <f ca="1">DATE(2025,$A$2,26)</f>
        <v>45895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Savings_8[[#This Row],[Planned]]-Savings_8[[#This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0</v>
      </c>
      <c r="D14" s="16">
        <f t="shared" ref="D14:D27" ca="1" si="0">C14-B14</f>
        <v>-300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0</v>
      </c>
      <c r="I14" s="36">
        <f t="shared" ref="I14:I27" ca="1" si="1">G14-H14</f>
        <v>200</v>
      </c>
      <c r="J14" s="3"/>
      <c r="K14" s="44" t="s">
        <v>23</v>
      </c>
      <c r="L14" s="22">
        <f ca="1">DATE(2025,$A$2,15)</f>
        <v>45884</v>
      </c>
      <c r="M14" s="14">
        <v>115</v>
      </c>
      <c r="N14" s="45"/>
      <c r="O14" s="3"/>
      <c r="P14" s="54" t="s">
        <v>34</v>
      </c>
      <c r="Q14" s="28">
        <f ca="1">DATE(2025,$A$2,19)</f>
        <v>45888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Savings_8[[#This Row],[Planned]]-Savings_8[[#This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400</v>
      </c>
      <c r="D15" s="16">
        <f t="shared" ca="1" si="0"/>
        <v>-100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20</v>
      </c>
      <c r="I15" s="36">
        <f t="shared" ca="1" si="1"/>
        <v>280</v>
      </c>
      <c r="J15" s="3"/>
      <c r="K15" s="44" t="s">
        <v>24</v>
      </c>
      <c r="L15" s="22">
        <f t="shared" ref="L15:L16" ca="1" si="2">DATE(2025,$A$2,10)</f>
        <v>45879</v>
      </c>
      <c r="M15" s="14">
        <v>65</v>
      </c>
      <c r="N15" s="45"/>
      <c r="O15" s="3"/>
      <c r="P15" s="54" t="s">
        <v>39</v>
      </c>
      <c r="Q15" s="28">
        <f ca="1">DATE(2025,$A$2,19)</f>
        <v>45888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Savings_8[[#This Row],[Planned]]-Savings_8[[#This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538.5</v>
      </c>
      <c r="I16" s="36">
        <f t="shared" ca="1" si="1"/>
        <v>211.5</v>
      </c>
      <c r="J16" s="3"/>
      <c r="K16" s="44" t="s">
        <v>25</v>
      </c>
      <c r="L16" s="22">
        <f t="shared" ca="1" si="2"/>
        <v>45879</v>
      </c>
      <c r="M16" s="14">
        <v>40</v>
      </c>
      <c r="N16" s="45"/>
      <c r="O16" s="3"/>
      <c r="P16" s="54" t="s">
        <v>40</v>
      </c>
      <c r="Q16" s="28">
        <f ca="1">DATE(2025,$A$2,26)</f>
        <v>45895</v>
      </c>
      <c r="R16" s="29">
        <v>100</v>
      </c>
      <c r="S16" s="55"/>
      <c r="T16" s="3"/>
      <c r="U16" s="64"/>
      <c r="V16" s="7"/>
      <c r="W16" s="65"/>
      <c r="X16" s="65">
        <f>Savings_8[[#This Row],[Planned]]-Savings_8[[#This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0</v>
      </c>
      <c r="I17" s="36">
        <f t="shared" ca="1" si="1"/>
        <v>130</v>
      </c>
      <c r="J17" s="3"/>
      <c r="K17" s="44" t="s">
        <v>26</v>
      </c>
      <c r="L17" s="22">
        <f ca="1">DATE(2025,$A$2,28)</f>
        <v>45897</v>
      </c>
      <c r="M17" s="14">
        <v>35</v>
      </c>
      <c r="N17" s="45"/>
      <c r="O17" s="3"/>
      <c r="P17" s="54" t="s">
        <v>41</v>
      </c>
      <c r="Q17" s="28">
        <f ca="1">DATE(2025,$A$2,23)</f>
        <v>45892</v>
      </c>
      <c r="R17" s="29">
        <v>42.69</v>
      </c>
      <c r="S17" s="55"/>
      <c r="T17" s="3"/>
      <c r="U17" s="64"/>
      <c r="V17" s="7"/>
      <c r="W17" s="65"/>
      <c r="X17" s="65">
        <f>Savings_8[[#This Row],[Planned]]-Savings_8[[#This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500</v>
      </c>
      <c r="D18" s="16">
        <f t="shared" ca="1" si="0"/>
        <v>-300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40</v>
      </c>
      <c r="I18" s="36">
        <f t="shared" ca="1" si="1"/>
        <v>90</v>
      </c>
      <c r="J18" s="3"/>
      <c r="K18" s="44" t="s">
        <v>27</v>
      </c>
      <c r="L18" s="22">
        <f ca="1">DATE(2025,$A$2,20)</f>
        <v>45889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Savings_8[[#This Row],[Planned]]-Savings_8[[#This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0</v>
      </c>
      <c r="I19" s="36">
        <f t="shared" ca="1" si="1"/>
        <v>200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Savings_8[[#This Row],[Planned]]-Savings_8[[#This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0</v>
      </c>
      <c r="I20" s="36">
        <f t="shared" ca="1" si="1"/>
        <v>200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Savings_8[[#This Row],[Planned]]-Savings_8[[#This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150</v>
      </c>
      <c r="I21" s="36">
        <f t="shared" ca="1" si="1"/>
        <v>0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Savings_8[[#This Row],[Planned]]-Savings_8[[#This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Savings_8[[#This Row],[Planned]]-Savings_8[[#This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Savings_8[[#This Row],[Planned]]-Savings_8[[#This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Savings_8[[#This Row],[Planned]]-Savings_8[[#This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Savings_8[[#This Row],[Planned]]-Savings_8[[#This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Savings_8[[#This Row],[Planned]]-Savings_8[[#This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Savings_8[[#This Row],[Planned]]-Savings_8[[#This Row],[Actual]]</f>
        <v>0</v>
      </c>
    </row>
    <row r="28" spans="1:24" ht="16.5" x14ac:dyDescent="0.3">
      <c r="A28" s="32" t="s">
        <v>44</v>
      </c>
      <c r="B28" s="33">
        <f>SUBTOTAL(109,Income_8[Planned])</f>
        <v>5700</v>
      </c>
      <c r="C28" s="33">
        <f ca="1">SUBTOTAL(109,Income_8[Actual])</f>
        <v>5400</v>
      </c>
      <c r="D28" s="33">
        <f ca="1">SUBTOTAL(109,Income_8[Left])</f>
        <v>-300</v>
      </c>
      <c r="E28" s="3"/>
      <c r="F28" s="8" t="s">
        <v>44</v>
      </c>
      <c r="G28" s="88">
        <f>SUBTOTAL(109,Expenses_8[Planned])</f>
        <v>3795</v>
      </c>
      <c r="H28" s="88">
        <f ca="1">SUBTOTAL(109,Expenses_8[Actual])</f>
        <v>2748.5</v>
      </c>
      <c r="I28" s="88">
        <f ca="1">SUBTOTAL(109,Expenses_8[Left])</f>
        <v>1046.5</v>
      </c>
      <c r="J28" s="9"/>
      <c r="K28" s="10" t="s">
        <v>44</v>
      </c>
      <c r="L28" s="10"/>
      <c r="M28" s="11">
        <f>SUBTOTAL(109,Bills_8[Planned])</f>
        <v>2515</v>
      </c>
      <c r="N28" s="11">
        <f>SUBTOTAL(103,Bills_8[Actual])</f>
        <v>0</v>
      </c>
      <c r="O28" s="9"/>
      <c r="P28" s="12" t="s">
        <v>44</v>
      </c>
      <c r="Q28" s="12"/>
      <c r="R28" s="72">
        <f>SUBTOTAL(109,Subscriptions_8[Planned])</f>
        <v>211.67000000000002</v>
      </c>
      <c r="S28" s="72">
        <f>SUBTOTAL(109,Subscriptions_8[Actual])</f>
        <v>0</v>
      </c>
      <c r="T28" s="9"/>
      <c r="U28" s="13" t="s">
        <v>44</v>
      </c>
      <c r="V28" s="73">
        <f>SUBTOTAL(109,Savings_8[Planned])</f>
        <v>1905</v>
      </c>
      <c r="W28" s="73">
        <f>SUBTOTAL(109,Savings_8[Actual])</f>
        <v>0</v>
      </c>
      <c r="X28" s="74">
        <f>SUBTOTAL(109,Savings_8[Left])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54" priority="2" operator="lessThan">
      <formula>TODAY()</formula>
    </cfRule>
  </conditionalFormatting>
  <conditionalFormatting sqref="Q13:Q17">
    <cfRule type="cellIs" dxfId="53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AF691-1246-4E23-907C-F9B7D9D6D644}">
  <sheetPr codeName="Sheet9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9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45910</v>
      </c>
      <c r="M13" s="14">
        <v>2200</v>
      </c>
      <c r="N13" s="45"/>
      <c r="O13" s="3"/>
      <c r="P13" s="54" t="s">
        <v>35</v>
      </c>
      <c r="Q13" s="28">
        <f ca="1">DATE(2025,$A$2,26)</f>
        <v>45926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Savings_9[[#This Row],[Planned]]-Savings_9[[#This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0</v>
      </c>
      <c r="D14" s="16">
        <f t="shared" ref="D14:D27" ca="1" si="0">C14-B14</f>
        <v>-300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300</v>
      </c>
      <c r="I14" s="36">
        <f t="shared" ref="I14:I27" ca="1" si="1">G14-H14</f>
        <v>-100</v>
      </c>
      <c r="J14" s="3"/>
      <c r="K14" s="44" t="s">
        <v>23</v>
      </c>
      <c r="L14" s="22">
        <f ca="1">DATE(2025,$A$2,15)</f>
        <v>45915</v>
      </c>
      <c r="M14" s="14">
        <v>115</v>
      </c>
      <c r="N14" s="45"/>
      <c r="O14" s="3"/>
      <c r="P14" s="54" t="s">
        <v>34</v>
      </c>
      <c r="Q14" s="28">
        <f ca="1">DATE(2025,$A$2,19)</f>
        <v>45919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Savings_9[[#This Row],[Planned]]-Savings_9[[#This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0</v>
      </c>
      <c r="D15" s="16">
        <f t="shared" ca="1" si="0"/>
        <v>-500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250</v>
      </c>
      <c r="I15" s="36">
        <f t="shared" ca="1" si="1"/>
        <v>50</v>
      </c>
      <c r="J15" s="3"/>
      <c r="K15" s="44" t="s">
        <v>24</v>
      </c>
      <c r="L15" s="22">
        <f t="shared" ref="L15:L16" ca="1" si="2">DATE(2025,$A$2,10)</f>
        <v>45910</v>
      </c>
      <c r="M15" s="14">
        <v>65</v>
      </c>
      <c r="N15" s="45"/>
      <c r="O15" s="3"/>
      <c r="P15" s="54" t="s">
        <v>39</v>
      </c>
      <c r="Q15" s="28">
        <f ca="1">DATE(2025,$A$2,19)</f>
        <v>45919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Savings_9[[#This Row],[Planned]]-Savings_9[[#This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749.5</v>
      </c>
      <c r="I16" s="36">
        <f t="shared" ca="1" si="1"/>
        <v>0.5</v>
      </c>
      <c r="J16" s="3"/>
      <c r="K16" s="44" t="s">
        <v>25</v>
      </c>
      <c r="L16" s="22">
        <f t="shared" ca="1" si="2"/>
        <v>45910</v>
      </c>
      <c r="M16" s="14">
        <v>40</v>
      </c>
      <c r="N16" s="45"/>
      <c r="O16" s="3"/>
      <c r="P16" s="54" t="s">
        <v>40</v>
      </c>
      <c r="Q16" s="28">
        <f ca="1">DATE(2025,$A$2,26)</f>
        <v>45926</v>
      </c>
      <c r="R16" s="29">
        <v>100</v>
      </c>
      <c r="S16" s="55"/>
      <c r="T16" s="3"/>
      <c r="U16" s="64"/>
      <c r="V16" s="7"/>
      <c r="W16" s="65"/>
      <c r="X16" s="65">
        <f>Savings_9[[#This Row],[Planned]]-Savings_9[[#This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400</v>
      </c>
      <c r="I17" s="36">
        <f t="shared" ca="1" si="1"/>
        <v>-270</v>
      </c>
      <c r="J17" s="3"/>
      <c r="K17" s="44" t="s">
        <v>26</v>
      </c>
      <c r="L17" s="22">
        <f ca="1">DATE(2025,$A$2,28)</f>
        <v>45928</v>
      </c>
      <c r="M17" s="14">
        <v>35</v>
      </c>
      <c r="N17" s="45"/>
      <c r="O17" s="3"/>
      <c r="P17" s="54" t="s">
        <v>41</v>
      </c>
      <c r="Q17" s="28">
        <f ca="1">DATE(2025,$A$2,23)</f>
        <v>45923</v>
      </c>
      <c r="R17" s="29">
        <v>42.69</v>
      </c>
      <c r="S17" s="55"/>
      <c r="T17" s="3"/>
      <c r="U17" s="64"/>
      <c r="V17" s="7"/>
      <c r="W17" s="65"/>
      <c r="X17" s="65">
        <f>Savings_9[[#This Row],[Planned]]-Savings_9[[#This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0</v>
      </c>
      <c r="I18" s="36">
        <f t="shared" ca="1" si="1"/>
        <v>130</v>
      </c>
      <c r="J18" s="3"/>
      <c r="K18" s="44" t="s">
        <v>27</v>
      </c>
      <c r="L18" s="22">
        <f ca="1">DATE(2025,$A$2,20)</f>
        <v>45920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Savings_9[[#This Row],[Planned]]-Savings_9[[#This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0</v>
      </c>
      <c r="I19" s="36">
        <f t="shared" ca="1" si="1"/>
        <v>200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Savings_9[[#This Row],[Planned]]-Savings_9[[#This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0</v>
      </c>
      <c r="I20" s="36">
        <f t="shared" ca="1" si="1"/>
        <v>200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Savings_9[[#This Row],[Planned]]-Savings_9[[#This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290</v>
      </c>
      <c r="I21" s="36">
        <f t="shared" ca="1" si="1"/>
        <v>-140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Savings_9[[#This Row],[Planned]]-Savings_9[[#This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Savings_9[[#This Row],[Planned]]-Savings_9[[#This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Savings_9[[#This Row],[Planned]]-Savings_9[[#This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Savings_9[[#This Row],[Planned]]-Savings_9[[#This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Savings_9[[#This Row],[Planned]]-Savings_9[[#This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Savings_9[[#This Row],[Planned]]-Savings_9[[#This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Savings_9[[#This Row],[Planned]]-Savings_9[[#This Row],[Actual]]</f>
        <v>0</v>
      </c>
    </row>
    <row r="28" spans="1:24" ht="16.5" x14ac:dyDescent="0.3">
      <c r="A28" s="32" t="s">
        <v>44</v>
      </c>
      <c r="B28" s="33">
        <f>SUBTOTAL(109,Income_9[Planned])</f>
        <v>5700</v>
      </c>
      <c r="C28" s="33">
        <f ca="1">SUBTOTAL(109,Income_9[Actual])</f>
        <v>4500</v>
      </c>
      <c r="D28" s="33">
        <f ca="1">SUBTOTAL(109,Income_9[Left])</f>
        <v>-1200</v>
      </c>
      <c r="E28" s="3"/>
      <c r="F28" s="8" t="s">
        <v>44</v>
      </c>
      <c r="G28" s="88">
        <f>SUBTOTAL(109,Expenses_9[Planned])</f>
        <v>3795</v>
      </c>
      <c r="H28" s="88">
        <f ca="1">SUBTOTAL(109,Expenses_9[Actual])</f>
        <v>3989.5</v>
      </c>
      <c r="I28" s="88">
        <f ca="1">SUBTOTAL(109,Expenses_9[Left])</f>
        <v>-194.5</v>
      </c>
      <c r="J28" s="9"/>
      <c r="K28" s="10" t="s">
        <v>44</v>
      </c>
      <c r="L28" s="10"/>
      <c r="M28" s="11">
        <f>SUBTOTAL(109,Bills_9[Planned])</f>
        <v>2515</v>
      </c>
      <c r="N28" s="11">
        <f>SUBTOTAL(103,Bills_9[Actual])</f>
        <v>0</v>
      </c>
      <c r="O28" s="9"/>
      <c r="P28" s="12" t="s">
        <v>44</v>
      </c>
      <c r="Q28" s="12"/>
      <c r="R28" s="72">
        <f>SUBTOTAL(109,Subscriptions_9[Planned])</f>
        <v>211.67000000000002</v>
      </c>
      <c r="S28" s="72">
        <f>SUBTOTAL(109,Subscriptions_9[Actual])</f>
        <v>0</v>
      </c>
      <c r="T28" s="9"/>
      <c r="U28" s="13" t="s">
        <v>44</v>
      </c>
      <c r="V28" s="73">
        <f>SUBTOTAL(109,Savings_9[Planned])</f>
        <v>1905</v>
      </c>
      <c r="W28" s="73">
        <f>SUBTOTAL(109,Savings_9[Actual])</f>
        <v>0</v>
      </c>
      <c r="X28" s="74">
        <f>SUBTOTAL(109,Savings_9[Left])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52" priority="2" operator="lessThan">
      <formula>TODAY()</formula>
    </cfRule>
  </conditionalFormatting>
  <conditionalFormatting sqref="Q13:Q17">
    <cfRule type="cellIs" dxfId="51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91DB1-D728-4353-98DC-26078D46CA49}">
  <sheetPr codeName="Sheet10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10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45940</v>
      </c>
      <c r="M13" s="14">
        <v>2200</v>
      </c>
      <c r="N13" s="45"/>
      <c r="O13" s="3"/>
      <c r="P13" s="54" t="s">
        <v>35</v>
      </c>
      <c r="Q13" s="28">
        <f ca="1">DATE(2025,$A$2,26)</f>
        <v>45956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Savings_10[[#This Row],[Planned]]-Savings_10[[#This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0</v>
      </c>
      <c r="D14" s="16">
        <f t="shared" ref="D14:D27" ca="1" si="0">C14-B14</f>
        <v>-300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0</v>
      </c>
      <c r="I14" s="36">
        <f t="shared" ref="I14:I27" ca="1" si="1">G14-H14</f>
        <v>200</v>
      </c>
      <c r="J14" s="3"/>
      <c r="K14" s="44" t="s">
        <v>23</v>
      </c>
      <c r="L14" s="22">
        <f ca="1">DATE(2025,$A$2,15)</f>
        <v>45945</v>
      </c>
      <c r="M14" s="14">
        <v>115</v>
      </c>
      <c r="N14" s="45"/>
      <c r="O14" s="3"/>
      <c r="P14" s="54" t="s">
        <v>34</v>
      </c>
      <c r="Q14" s="28">
        <f ca="1">DATE(2025,$A$2,19)</f>
        <v>45949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Savings_10[[#This Row],[Planned]]-Savings_10[[#This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0</v>
      </c>
      <c r="D15" s="16">
        <f t="shared" ca="1" si="0"/>
        <v>-500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40</v>
      </c>
      <c r="I15" s="36">
        <f t="shared" ca="1" si="1"/>
        <v>260</v>
      </c>
      <c r="J15" s="3"/>
      <c r="K15" s="44" t="s">
        <v>24</v>
      </c>
      <c r="L15" s="22">
        <f t="shared" ref="L15:L16" ca="1" si="2">DATE(2025,$A$2,10)</f>
        <v>45940</v>
      </c>
      <c r="M15" s="14">
        <v>65</v>
      </c>
      <c r="N15" s="45"/>
      <c r="O15" s="3"/>
      <c r="P15" s="54" t="s">
        <v>39</v>
      </c>
      <c r="Q15" s="28">
        <f ca="1">DATE(2025,$A$2,19)</f>
        <v>45949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Savings_10[[#This Row],[Planned]]-Savings_10[[#This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600</v>
      </c>
      <c r="I16" s="36">
        <f t="shared" ca="1" si="1"/>
        <v>150</v>
      </c>
      <c r="J16" s="3"/>
      <c r="K16" s="44" t="s">
        <v>25</v>
      </c>
      <c r="L16" s="22">
        <f t="shared" ca="1" si="2"/>
        <v>45940</v>
      </c>
      <c r="M16" s="14">
        <v>40</v>
      </c>
      <c r="N16" s="45"/>
      <c r="O16" s="3"/>
      <c r="P16" s="54" t="s">
        <v>40</v>
      </c>
      <c r="Q16" s="28">
        <f ca="1">DATE(2025,$A$2,26)</f>
        <v>45956</v>
      </c>
      <c r="R16" s="29">
        <v>100</v>
      </c>
      <c r="S16" s="55"/>
      <c r="T16" s="3"/>
      <c r="U16" s="64"/>
      <c r="V16" s="7"/>
      <c r="W16" s="65"/>
      <c r="X16" s="65">
        <f>Savings_10[[#This Row],[Planned]]-Savings_10[[#This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0</v>
      </c>
      <c r="I17" s="36">
        <f t="shared" ca="1" si="1"/>
        <v>130</v>
      </c>
      <c r="J17" s="3"/>
      <c r="K17" s="44" t="s">
        <v>26</v>
      </c>
      <c r="L17" s="22">
        <f ca="1">DATE(2025,$A$2,28)</f>
        <v>45958</v>
      </c>
      <c r="M17" s="14">
        <v>35</v>
      </c>
      <c r="N17" s="45"/>
      <c r="O17" s="3"/>
      <c r="P17" s="54" t="s">
        <v>41</v>
      </c>
      <c r="Q17" s="28">
        <f ca="1">DATE(2025,$A$2,23)</f>
        <v>45953</v>
      </c>
      <c r="R17" s="29">
        <v>42.69</v>
      </c>
      <c r="S17" s="55"/>
      <c r="T17" s="3"/>
      <c r="U17" s="64"/>
      <c r="V17" s="7"/>
      <c r="W17" s="65"/>
      <c r="X17" s="65">
        <f>Savings_10[[#This Row],[Planned]]-Savings_10[[#This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40</v>
      </c>
      <c r="I18" s="36">
        <f t="shared" ca="1" si="1"/>
        <v>90</v>
      </c>
      <c r="J18" s="3"/>
      <c r="K18" s="44" t="s">
        <v>27</v>
      </c>
      <c r="L18" s="22">
        <f ca="1">DATE(2025,$A$2,20)</f>
        <v>45950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Savings_10[[#This Row],[Planned]]-Savings_10[[#This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0</v>
      </c>
      <c r="I19" s="36">
        <f t="shared" ca="1" si="1"/>
        <v>200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Savings_10[[#This Row],[Planned]]-Savings_10[[#This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0</v>
      </c>
      <c r="I20" s="36">
        <f t="shared" ca="1" si="1"/>
        <v>200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Savings_10[[#This Row],[Planned]]-Savings_10[[#This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150</v>
      </c>
      <c r="I21" s="36">
        <f t="shared" ca="1" si="1"/>
        <v>0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Savings_10[[#This Row],[Planned]]-Savings_10[[#This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Savings_10[[#This Row],[Planned]]-Savings_10[[#This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Savings_10[[#This Row],[Planned]]-Savings_10[[#This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Savings_10[[#This Row],[Planned]]-Savings_10[[#This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Savings_10[[#This Row],[Planned]]-Savings_10[[#This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Savings_10[[#This Row],[Planned]]-Savings_10[[#This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Savings_10[[#This Row],[Planned]]-Savings_10[[#This Row],[Actual]]</f>
        <v>0</v>
      </c>
    </row>
    <row r="28" spans="1:24" ht="16.5" x14ac:dyDescent="0.3">
      <c r="A28" s="32" t="s">
        <v>44</v>
      </c>
      <c r="B28" s="33">
        <f>SUBTOTAL(109,Income_10[Planned])</f>
        <v>5700</v>
      </c>
      <c r="C28" s="33">
        <f ca="1">SUBTOTAL(109,Income_10[Actual])</f>
        <v>4500</v>
      </c>
      <c r="D28" s="33">
        <f ca="1">SUBTOTAL(109,Income_10[Left])</f>
        <v>-1200</v>
      </c>
      <c r="E28" s="3"/>
      <c r="F28" s="8" t="s">
        <v>44</v>
      </c>
      <c r="G28" s="88">
        <f>SUBTOTAL(109,Expenses_10[Planned])</f>
        <v>3795</v>
      </c>
      <c r="H28" s="88">
        <f ca="1">SUBTOTAL(109,Expenses_10[Actual])</f>
        <v>2830</v>
      </c>
      <c r="I28" s="88">
        <f ca="1">SUBTOTAL(109,Expenses_10[Left])</f>
        <v>965</v>
      </c>
      <c r="J28" s="9"/>
      <c r="K28" s="10" t="s">
        <v>44</v>
      </c>
      <c r="L28" s="10"/>
      <c r="M28" s="11">
        <f>SUBTOTAL(109,Bills_10[Planned])</f>
        <v>2515</v>
      </c>
      <c r="N28" s="11">
        <f>SUBTOTAL(103,Bills_10[Actual])</f>
        <v>0</v>
      </c>
      <c r="O28" s="9"/>
      <c r="P28" s="12" t="s">
        <v>44</v>
      </c>
      <c r="Q28" s="12"/>
      <c r="R28" s="72">
        <f>SUBTOTAL(109,Subscriptions_10[Planned])</f>
        <v>211.67000000000002</v>
      </c>
      <c r="S28" s="72">
        <f>SUBTOTAL(109,Subscriptions_10[Actual])</f>
        <v>0</v>
      </c>
      <c r="T28" s="9"/>
      <c r="U28" s="13" t="s">
        <v>44</v>
      </c>
      <c r="V28" s="73">
        <f>SUBTOTAL(109,Savings_10[Planned])</f>
        <v>1905</v>
      </c>
      <c r="W28" s="73">
        <f>SUBTOTAL(109,Savings_10[Actual])</f>
        <v>0</v>
      </c>
      <c r="X28" s="74">
        <f>SUBTOTAL(109,Savings_10[Left])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50" priority="2" operator="lessThan">
      <formula>TODAY()</formula>
    </cfRule>
  </conditionalFormatting>
  <conditionalFormatting sqref="Q13:Q17">
    <cfRule type="cellIs" dxfId="49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F464-8A8B-4879-8DB7-0CB7F206545A}">
  <sheetPr codeName="Sheet11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11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45971</v>
      </c>
      <c r="M13" s="14">
        <v>2200</v>
      </c>
      <c r="N13" s="45"/>
      <c r="O13" s="3"/>
      <c r="P13" s="54" t="s">
        <v>35</v>
      </c>
      <c r="Q13" s="28">
        <f ca="1">DATE(2025,$A$2,26)</f>
        <v>45987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Savings_11[[#This Row],[Planned]]-Savings_11[[#This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0</v>
      </c>
      <c r="D14" s="16">
        <f t="shared" ref="D14:D27" ca="1" si="0">C14-B14</f>
        <v>-300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158</v>
      </c>
      <c r="I14" s="36">
        <f t="shared" ref="I14:I27" ca="1" si="1">G14-H14</f>
        <v>42</v>
      </c>
      <c r="J14" s="3"/>
      <c r="K14" s="44" t="s">
        <v>23</v>
      </c>
      <c r="L14" s="22">
        <f ca="1">DATE(2025,$A$2,15)</f>
        <v>45976</v>
      </c>
      <c r="M14" s="14">
        <v>115</v>
      </c>
      <c r="N14" s="45"/>
      <c r="O14" s="3"/>
      <c r="P14" s="54" t="s">
        <v>34</v>
      </c>
      <c r="Q14" s="28">
        <f ca="1">DATE(2025,$A$2,19)</f>
        <v>45980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Savings_11[[#This Row],[Planned]]-Savings_11[[#This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400</v>
      </c>
      <c r="D15" s="16">
        <f t="shared" ca="1" si="0"/>
        <v>-100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214</v>
      </c>
      <c r="I15" s="36">
        <f t="shared" ca="1" si="1"/>
        <v>86</v>
      </c>
      <c r="J15" s="3"/>
      <c r="K15" s="44" t="s">
        <v>24</v>
      </c>
      <c r="L15" s="22">
        <f t="shared" ref="L15:L16" ca="1" si="2">DATE(2025,$A$2,10)</f>
        <v>45971</v>
      </c>
      <c r="M15" s="14">
        <v>65</v>
      </c>
      <c r="N15" s="45"/>
      <c r="O15" s="3"/>
      <c r="P15" s="54" t="s">
        <v>39</v>
      </c>
      <c r="Q15" s="28">
        <f ca="1">DATE(2025,$A$2,19)</f>
        <v>45980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Savings_11[[#This Row],[Planned]]-Savings_11[[#This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506</v>
      </c>
      <c r="I16" s="36">
        <f t="shared" ca="1" si="1"/>
        <v>244</v>
      </c>
      <c r="J16" s="3"/>
      <c r="K16" s="44" t="s">
        <v>25</v>
      </c>
      <c r="L16" s="22">
        <f t="shared" ca="1" si="2"/>
        <v>45971</v>
      </c>
      <c r="M16" s="14">
        <v>40</v>
      </c>
      <c r="N16" s="45"/>
      <c r="O16" s="3"/>
      <c r="P16" s="54" t="s">
        <v>40</v>
      </c>
      <c r="Q16" s="28">
        <f ca="1">DATE(2025,$A$2,26)</f>
        <v>45987</v>
      </c>
      <c r="R16" s="29">
        <v>100</v>
      </c>
      <c r="S16" s="55"/>
      <c r="T16" s="3"/>
      <c r="U16" s="64"/>
      <c r="V16" s="7"/>
      <c r="W16" s="65"/>
      <c r="X16" s="65">
        <f>Savings_11[[#This Row],[Planned]]-Savings_11[[#This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133</v>
      </c>
      <c r="I17" s="36">
        <f t="shared" ca="1" si="1"/>
        <v>-3</v>
      </c>
      <c r="J17" s="3"/>
      <c r="K17" s="44" t="s">
        <v>26</v>
      </c>
      <c r="L17" s="22">
        <f ca="1">DATE(2025,$A$2,28)</f>
        <v>45989</v>
      </c>
      <c r="M17" s="14">
        <v>35</v>
      </c>
      <c r="N17" s="45"/>
      <c r="O17" s="3"/>
      <c r="P17" s="54" t="s">
        <v>41</v>
      </c>
      <c r="Q17" s="28">
        <f ca="1">DATE(2025,$A$2,23)</f>
        <v>45984</v>
      </c>
      <c r="R17" s="29">
        <v>42.69</v>
      </c>
      <c r="S17" s="55"/>
      <c r="T17" s="3"/>
      <c r="U17" s="64"/>
      <c r="V17" s="7"/>
      <c r="W17" s="65"/>
      <c r="X17" s="65">
        <f>Savings_11[[#This Row],[Planned]]-Savings_11[[#This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47</v>
      </c>
      <c r="I18" s="36">
        <f t="shared" ca="1" si="1"/>
        <v>83</v>
      </c>
      <c r="J18" s="3"/>
      <c r="K18" s="44" t="s">
        <v>27</v>
      </c>
      <c r="L18" s="22">
        <f ca="1">DATE(2025,$A$2,20)</f>
        <v>45981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Savings_11[[#This Row],[Planned]]-Savings_11[[#This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234</v>
      </c>
      <c r="I19" s="36">
        <f t="shared" ca="1" si="1"/>
        <v>-34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Savings_11[[#This Row],[Planned]]-Savings_11[[#This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0</v>
      </c>
      <c r="I20" s="36">
        <f t="shared" ca="1" si="1"/>
        <v>200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Savings_11[[#This Row],[Planned]]-Savings_11[[#This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208</v>
      </c>
      <c r="I21" s="36">
        <f t="shared" ca="1" si="1"/>
        <v>-58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Savings_11[[#This Row],[Planned]]-Savings_11[[#This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Savings_11[[#This Row],[Planned]]-Savings_11[[#This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Savings_11[[#This Row],[Planned]]-Savings_11[[#This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Savings_11[[#This Row],[Planned]]-Savings_11[[#This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Savings_11[[#This Row],[Planned]]-Savings_11[[#This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Savings_11[[#This Row],[Planned]]-Savings_11[[#This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Savings_11[[#This Row],[Planned]]-Savings_11[[#This Row],[Actual]]</f>
        <v>0</v>
      </c>
    </row>
    <row r="28" spans="1:24" ht="16.5" x14ac:dyDescent="0.3">
      <c r="A28" s="32" t="s">
        <v>44</v>
      </c>
      <c r="B28" s="33">
        <f>SUBTOTAL(109,Income_11[Planned])</f>
        <v>5700</v>
      </c>
      <c r="C28" s="33">
        <f ca="1">SUBTOTAL(109,Income_11[Actual])</f>
        <v>4900</v>
      </c>
      <c r="D28" s="33">
        <f ca="1">SUBTOTAL(109,Income_11[Left])</f>
        <v>-800</v>
      </c>
      <c r="E28" s="3"/>
      <c r="F28" s="8" t="s">
        <v>44</v>
      </c>
      <c r="G28" s="88">
        <f>SUBTOTAL(109,Expenses_11[Planned])</f>
        <v>3795</v>
      </c>
      <c r="H28" s="88">
        <f ca="1">SUBTOTAL(109,Expenses_11[Actual])</f>
        <v>3500</v>
      </c>
      <c r="I28" s="88">
        <f ca="1">SUBTOTAL(109,Expenses_11[Left])</f>
        <v>295</v>
      </c>
      <c r="J28" s="9"/>
      <c r="K28" s="10" t="s">
        <v>44</v>
      </c>
      <c r="L28" s="10"/>
      <c r="M28" s="11">
        <f>SUBTOTAL(109,Bills_11[Planned])</f>
        <v>2515</v>
      </c>
      <c r="N28" s="11">
        <f>SUBTOTAL(103,Bills_11[Actual])</f>
        <v>0</v>
      </c>
      <c r="O28" s="9"/>
      <c r="P28" s="12" t="s">
        <v>44</v>
      </c>
      <c r="Q28" s="12"/>
      <c r="R28" s="72">
        <f>SUBTOTAL(109,Subscriptions_11[Planned])</f>
        <v>211.67000000000002</v>
      </c>
      <c r="S28" s="72">
        <f>SUBTOTAL(109,Subscriptions_11[Actual])</f>
        <v>0</v>
      </c>
      <c r="T28" s="9"/>
      <c r="U28" s="13" t="s">
        <v>44</v>
      </c>
      <c r="V28" s="73">
        <f>SUBTOTAL(109,Savings_11[Planned])</f>
        <v>1905</v>
      </c>
      <c r="W28" s="73">
        <f>SUBTOTAL(109,Savings_11[Actual])</f>
        <v>0</v>
      </c>
      <c r="X28" s="74">
        <f>SUBTOTAL(109,Savings_11[Left])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48" priority="2" operator="lessThan">
      <formula>TODAY()</formula>
    </cfRule>
  </conditionalFormatting>
  <conditionalFormatting sqref="Q13:Q17">
    <cfRule type="cellIs" dxfId="47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B3E11-DF8A-451F-82F6-2B4E3EB54C62}">
  <sheetPr codeName="Sheet12"/>
  <dimension ref="A1:X33"/>
  <sheetViews>
    <sheetView workbookViewId="0">
      <selection activeCell="D8" sqref="D8"/>
    </sheetView>
  </sheetViews>
  <sheetFormatPr defaultRowHeight="15" x14ac:dyDescent="0.25"/>
  <cols>
    <col min="1" max="1" width="13.7109375" customWidth="1"/>
    <col min="2" max="4" width="12.7109375" bestFit="1" customWidth="1"/>
    <col min="6" max="6" width="15" customWidth="1"/>
    <col min="7" max="9" width="12.7109375" bestFit="1" customWidth="1"/>
    <col min="11" max="12" width="13.85546875" customWidth="1"/>
    <col min="13" max="13" width="12.7109375" bestFit="1" customWidth="1"/>
    <col min="16" max="17" width="16.7109375" customWidth="1"/>
    <col min="18" max="18" width="11" bestFit="1" customWidth="1"/>
    <col min="21" max="21" width="17" customWidth="1"/>
    <col min="22" max="22" width="12.7109375" bestFit="1" customWidth="1"/>
    <col min="23" max="23" width="11" bestFit="1" customWidth="1"/>
    <col min="24" max="24" width="12.7109375" bestFit="1" customWidth="1"/>
  </cols>
  <sheetData>
    <row r="1" spans="1:24" x14ac:dyDescent="0.25">
      <c r="A1" s="77" t="s">
        <v>1</v>
      </c>
      <c r="B1" s="77"/>
      <c r="C1" s="77"/>
      <c r="D1" s="19"/>
    </row>
    <row r="2" spans="1:24" x14ac:dyDescent="0.25">
      <c r="A2" s="78" t="str" cm="1">
        <f t="array" aca="1" ref="A2" ca="1">RIGHT(CELL("filename",A1),LEN(CELL("filename",A1))-FIND("]",CELL("filename",A1)))</f>
        <v>12</v>
      </c>
      <c r="B2" s="78"/>
      <c r="C2" s="78"/>
      <c r="D2" s="20"/>
    </row>
    <row r="4" spans="1:24" x14ac:dyDescent="0.25">
      <c r="B4" s="18" t="s">
        <v>2</v>
      </c>
      <c r="C4" s="18" t="s">
        <v>3</v>
      </c>
      <c r="D4" s="24" t="s">
        <v>4</v>
      </c>
    </row>
    <row r="5" spans="1:24" x14ac:dyDescent="0.25">
      <c r="A5" s="18" t="s">
        <v>45</v>
      </c>
      <c r="B5" s="23" cm="1">
        <f t="array" aca="1" ref="B5" ca="1">INDIRECT($A5&amp;"_1[[#Totals];["&amp;B$4&amp;"]]")</f>
        <v>5700</v>
      </c>
      <c r="C5" s="23" cm="1">
        <f t="array" aca="1" ref="C5" ca="1">INDIRECT($A5&amp;"_1[[#Totals];["&amp;C$4&amp;"]]")</f>
        <v>5655.5</v>
      </c>
      <c r="D5" s="23" cm="1">
        <f t="array" aca="1" ref="D5" ca="1">INDIRECT($A5&amp;"_1[[#Totals];["&amp;D$4&amp;"]]")</f>
        <v>-44.5</v>
      </c>
      <c r="E5" s="26"/>
    </row>
    <row r="6" spans="1:24" x14ac:dyDescent="0.25">
      <c r="A6" s="18" t="s">
        <v>5</v>
      </c>
      <c r="B6" s="23" cm="1">
        <f t="array" aca="1" ref="B6" ca="1">INDIRECT($A6&amp;"_1[[#Totals];["&amp;B$4&amp;"]]")</f>
        <v>3795</v>
      </c>
      <c r="C6" s="23" cm="1">
        <f t="array" aca="1" ref="C6" ca="1">INDIRECT($A6&amp;"_1[[#Totals];["&amp;C$4&amp;"]]")</f>
        <v>4810</v>
      </c>
      <c r="D6" s="23" cm="1">
        <f t="array" aca="1" ref="D6" ca="1">INDIRECT($A6&amp;"_1[[#Totals];["&amp;D$4&amp;"]]")</f>
        <v>-1015</v>
      </c>
    </row>
    <row r="7" spans="1:24" x14ac:dyDescent="0.25">
      <c r="A7" s="18" t="s">
        <v>6</v>
      </c>
      <c r="B7" s="23" cm="1">
        <f t="array" aca="1" ref="B7" ca="1">INDIRECT($A7&amp;"_1[[#Totals];["&amp;B$4&amp;"]]")</f>
        <v>1905</v>
      </c>
      <c r="C7" s="23" cm="1">
        <f t="array" aca="1" ref="C7" ca="1">INDIRECT($A7&amp;"_1[[#Totals];["&amp;C$4&amp;"]]")</f>
        <v>0</v>
      </c>
      <c r="D7" s="23" cm="1">
        <f t="array" aca="1" ref="D7" ca="1">INDIRECT($A7&amp;"_1[[#Totals];["&amp;D$4&amp;"]]")</f>
        <v>1905</v>
      </c>
    </row>
    <row r="9" spans="1:24" x14ac:dyDescent="0.25">
      <c r="A9" s="18" t="s">
        <v>7</v>
      </c>
      <c r="B9" s="23">
        <f ca="1">B5-B6-B7</f>
        <v>0</v>
      </c>
      <c r="C9" s="23">
        <f ca="1">C5-C6-C7</f>
        <v>845.5</v>
      </c>
      <c r="D9" s="25">
        <f ca="1">D5+D6+D7</f>
        <v>845.5</v>
      </c>
    </row>
    <row r="11" spans="1:24" ht="16.5" x14ac:dyDescent="0.3">
      <c r="A11" s="79" t="s">
        <v>45</v>
      </c>
      <c r="B11" s="80"/>
      <c r="C11" s="80"/>
      <c r="D11" s="80"/>
      <c r="E11" s="3"/>
      <c r="F11" s="81" t="s">
        <v>5</v>
      </c>
      <c r="G11" s="82"/>
      <c r="H11" s="82"/>
      <c r="I11" s="83"/>
      <c r="J11" s="3"/>
      <c r="K11" s="84" t="s">
        <v>31</v>
      </c>
      <c r="L11" s="84"/>
      <c r="M11" s="85"/>
      <c r="N11" s="85"/>
      <c r="O11" s="3"/>
      <c r="P11" s="86" t="s">
        <v>33</v>
      </c>
      <c r="Q11" s="86"/>
      <c r="R11" s="87"/>
      <c r="S11" s="87"/>
      <c r="T11" s="3"/>
      <c r="U11" s="75" t="s">
        <v>6</v>
      </c>
      <c r="V11" s="76"/>
      <c r="W11" s="76"/>
      <c r="X11" s="76"/>
    </row>
    <row r="12" spans="1:24" ht="16.5" x14ac:dyDescent="0.3">
      <c r="A12" s="4" t="s">
        <v>28</v>
      </c>
      <c r="B12" s="4" t="s">
        <v>2</v>
      </c>
      <c r="C12" s="4" t="s">
        <v>3</v>
      </c>
      <c r="D12" s="21" t="s">
        <v>4</v>
      </c>
      <c r="E12" s="3"/>
      <c r="F12" s="37" t="s">
        <v>29</v>
      </c>
      <c r="G12" s="38" t="s">
        <v>2</v>
      </c>
      <c r="H12" s="38" t="s">
        <v>3</v>
      </c>
      <c r="I12" s="39" t="s">
        <v>4</v>
      </c>
      <c r="J12" s="3"/>
      <c r="K12" s="46" t="s">
        <v>30</v>
      </c>
      <c r="L12" s="47" t="s">
        <v>38</v>
      </c>
      <c r="M12" s="48" t="s">
        <v>2</v>
      </c>
      <c r="N12" s="49" t="s">
        <v>3</v>
      </c>
      <c r="O12" s="3"/>
      <c r="P12" s="56" t="s">
        <v>32</v>
      </c>
      <c r="Q12" s="57" t="s">
        <v>38</v>
      </c>
      <c r="R12" s="58" t="s">
        <v>2</v>
      </c>
      <c r="S12" s="59" t="s">
        <v>3</v>
      </c>
      <c r="T12" s="3"/>
      <c r="U12" s="66" t="s">
        <v>36</v>
      </c>
      <c r="V12" s="67" t="s">
        <v>2</v>
      </c>
      <c r="W12" s="68" t="s">
        <v>3</v>
      </c>
      <c r="X12" s="67" t="s">
        <v>4</v>
      </c>
    </row>
    <row r="13" spans="1:24" ht="16.5" x14ac:dyDescent="0.3">
      <c r="A13" s="17" t="s">
        <v>8</v>
      </c>
      <c r="B13" s="16">
        <v>2500</v>
      </c>
      <c r="C13" s="16" cm="1">
        <f t="array" aca="1" ref="C13" ca="1">_xlfn.XLOOKUP(A13,INDIRECT("'Finances.xlsx'!incomes_"&amp;$A$2&amp;"[Category]"),INDIRECT("'Finances.xlsx'!incomes_"&amp;$A$2&amp;"[Total]"),0,0,1)</f>
        <v>0</v>
      </c>
      <c r="D13" s="16">
        <f ca="1">C13-B13</f>
        <v>-2500</v>
      </c>
      <c r="E13" s="3"/>
      <c r="F13" s="34" t="s">
        <v>22</v>
      </c>
      <c r="G13" s="15">
        <v>1735</v>
      </c>
      <c r="H13" s="15" cm="1">
        <f t="array" aca="1" ref="H13" ca="1">-_xlfn.XLOOKUP(F13,INDIRECT("'Finances.xlsx'!expenses_"&amp;$A$2&amp;"[Category]"),INDIRECT("'Finances.xlsx'!expenses_"&amp;$A$2&amp;"[Total]"),0,0,1)</f>
        <v>2000</v>
      </c>
      <c r="I13" s="36">
        <f ca="1">G13-H13</f>
        <v>-265</v>
      </c>
      <c r="J13" s="3"/>
      <c r="K13" s="43" t="s">
        <v>0</v>
      </c>
      <c r="L13" s="22">
        <f ca="1">DATE(2025,$A$2,10)</f>
        <v>46001</v>
      </c>
      <c r="M13" s="14">
        <v>2200</v>
      </c>
      <c r="N13" s="45"/>
      <c r="O13" s="3"/>
      <c r="P13" s="54" t="s">
        <v>35</v>
      </c>
      <c r="Q13" s="28">
        <f ca="1">DATE(2025,$A$2,26)</f>
        <v>46017</v>
      </c>
      <c r="R13" s="29">
        <v>12.99</v>
      </c>
      <c r="S13" s="55"/>
      <c r="T13" s="3"/>
      <c r="U13" s="64" t="s">
        <v>42</v>
      </c>
      <c r="V13" s="7">
        <v>500</v>
      </c>
      <c r="W13" s="65"/>
      <c r="X13" s="65">
        <f>Savings_12[[#This Row],[Planned]]-Savings_12[[#This Row],[Actual]]</f>
        <v>500</v>
      </c>
    </row>
    <row r="14" spans="1:24" ht="16.5" x14ac:dyDescent="0.3">
      <c r="A14" s="5" t="s">
        <v>9</v>
      </c>
      <c r="B14" s="16">
        <v>300</v>
      </c>
      <c r="C14" s="16" cm="1">
        <f t="array" aca="1" ref="C14" ca="1">_xlfn.XLOOKUP(A14,INDIRECT("'Finances.xlsx'!incomes_"&amp;$A$2&amp;"[Category]"),INDIRECT("'Finances.xlsx'!incomes_"&amp;$A$2&amp;"[Total]"),0,0,1)</f>
        <v>0</v>
      </c>
      <c r="D14" s="16">
        <f t="shared" ref="D14:D27" ca="1" si="0">C14-B14</f>
        <v>-300</v>
      </c>
      <c r="E14" s="3"/>
      <c r="F14" s="34" t="s">
        <v>14</v>
      </c>
      <c r="G14" s="15">
        <v>200</v>
      </c>
      <c r="H14" s="15" cm="1">
        <f t="array" aca="1" ref="H14" ca="1">-_xlfn.XLOOKUP(F14,INDIRECT("'Finances.xlsx'!expenses_"&amp;$A$2&amp;"[Category]"),INDIRECT("'Finances.xlsx'!expenses_"&amp;$A$2&amp;"[Total]"),0,0,1)</f>
        <v>120</v>
      </c>
      <c r="I14" s="36">
        <f t="shared" ref="I14:I27" ca="1" si="1">G14-H14</f>
        <v>80</v>
      </c>
      <c r="J14" s="3"/>
      <c r="K14" s="44" t="s">
        <v>23</v>
      </c>
      <c r="L14" s="22">
        <f ca="1">DATE(2025,$A$2,15)</f>
        <v>46006</v>
      </c>
      <c r="M14" s="14">
        <v>115</v>
      </c>
      <c r="N14" s="45"/>
      <c r="O14" s="3"/>
      <c r="P14" s="54" t="s">
        <v>34</v>
      </c>
      <c r="Q14" s="28">
        <f ca="1">DATE(2025,$A$2,19)</f>
        <v>46010</v>
      </c>
      <c r="R14" s="29">
        <v>33</v>
      </c>
      <c r="S14" s="55"/>
      <c r="T14" s="3"/>
      <c r="U14" s="64" t="s">
        <v>43</v>
      </c>
      <c r="V14" s="7">
        <v>800</v>
      </c>
      <c r="W14" s="65"/>
      <c r="X14" s="65">
        <f>Savings_12[[#This Row],[Planned]]-Savings_12[[#This Row],[Actual]]</f>
        <v>800</v>
      </c>
    </row>
    <row r="15" spans="1:24" ht="16.5" x14ac:dyDescent="0.3">
      <c r="A15" s="5" t="s">
        <v>10</v>
      </c>
      <c r="B15" s="16">
        <v>500</v>
      </c>
      <c r="C15" s="16" cm="1">
        <f t="array" aca="1" ref="C15" ca="1">_xlfn.XLOOKUP(A15,INDIRECT("'Finances.xlsx'!incomes_"&amp;$A$2&amp;"[Category]"),INDIRECT("'Finances.xlsx'!incomes_"&amp;$A$2&amp;"[Total]"),0,0,1)</f>
        <v>2000</v>
      </c>
      <c r="D15" s="16">
        <f t="shared" ca="1" si="0"/>
        <v>1500</v>
      </c>
      <c r="E15" s="3"/>
      <c r="F15" s="34" t="s">
        <v>15</v>
      </c>
      <c r="G15" s="15">
        <v>300</v>
      </c>
      <c r="H15" s="15" cm="1">
        <f t="array" aca="1" ref="H15" ca="1">-_xlfn.XLOOKUP(F15,INDIRECT("'Finances.xlsx'!expenses_"&amp;$A$2&amp;"[Category]"),INDIRECT("'Finances.xlsx'!expenses_"&amp;$A$2&amp;"[Total]"),0,0,1)</f>
        <v>450</v>
      </c>
      <c r="I15" s="36">
        <f t="shared" ca="1" si="1"/>
        <v>-150</v>
      </c>
      <c r="J15" s="3"/>
      <c r="K15" s="44" t="s">
        <v>24</v>
      </c>
      <c r="L15" s="22">
        <f t="shared" ref="L15:L16" ca="1" si="2">DATE(2025,$A$2,10)</f>
        <v>46001</v>
      </c>
      <c r="M15" s="14">
        <v>65</v>
      </c>
      <c r="N15" s="45"/>
      <c r="O15" s="3"/>
      <c r="P15" s="54" t="s">
        <v>39</v>
      </c>
      <c r="Q15" s="28">
        <f ca="1">DATE(2025,$A$2,19)</f>
        <v>46010</v>
      </c>
      <c r="R15" s="29">
        <v>22.99</v>
      </c>
      <c r="S15" s="55"/>
      <c r="T15" s="3"/>
      <c r="U15" s="64" t="s">
        <v>37</v>
      </c>
      <c r="V15" s="7">
        <v>605</v>
      </c>
      <c r="W15" s="65"/>
      <c r="X15" s="65">
        <f>Savings_12[[#This Row],[Planned]]-Savings_12[[#This Row],[Actual]]</f>
        <v>605</v>
      </c>
    </row>
    <row r="16" spans="1:24" ht="16.5" x14ac:dyDescent="0.3">
      <c r="A16" s="5" t="s">
        <v>11</v>
      </c>
      <c r="B16" s="16">
        <v>100</v>
      </c>
      <c r="C16" s="16" cm="1">
        <f t="array" aca="1" ref="C16" ca="1">_xlfn.XLOOKUP(A16,INDIRECT("'Finances.xlsx'!incomes_"&amp;$A$2&amp;"[Category]"),INDIRECT("'Finances.xlsx'!incomes_"&amp;$A$2&amp;"[Total]"),0,0,1)</f>
        <v>0</v>
      </c>
      <c r="D16" s="16">
        <f t="shared" ca="1" si="0"/>
        <v>-100</v>
      </c>
      <c r="E16" s="3"/>
      <c r="F16" s="35" t="s">
        <v>16</v>
      </c>
      <c r="G16" s="15">
        <v>750</v>
      </c>
      <c r="H16" s="15" cm="1">
        <f t="array" aca="1" ref="H16" ca="1">-_xlfn.XLOOKUP(F16,INDIRECT("'Finances.xlsx'!expenses_"&amp;$A$2&amp;"[Category]"),INDIRECT("'Finances.xlsx'!expenses_"&amp;$A$2&amp;"[Total]"),0,0,1)</f>
        <v>700</v>
      </c>
      <c r="I16" s="36">
        <f t="shared" ca="1" si="1"/>
        <v>50</v>
      </c>
      <c r="J16" s="3"/>
      <c r="K16" s="44" t="s">
        <v>25</v>
      </c>
      <c r="L16" s="22">
        <f t="shared" ca="1" si="2"/>
        <v>46001</v>
      </c>
      <c r="M16" s="14">
        <v>40</v>
      </c>
      <c r="N16" s="45"/>
      <c r="O16" s="3"/>
      <c r="P16" s="54" t="s">
        <v>40</v>
      </c>
      <c r="Q16" s="28">
        <f ca="1">DATE(2025,$A$2,26)</f>
        <v>46017</v>
      </c>
      <c r="R16" s="29">
        <v>100</v>
      </c>
      <c r="S16" s="55"/>
      <c r="T16" s="3"/>
      <c r="U16" s="64"/>
      <c r="V16" s="7"/>
      <c r="W16" s="65"/>
      <c r="X16" s="65">
        <f>Savings_12[[#This Row],[Planned]]-Savings_12[[#This Row],[Actual]]</f>
        <v>0</v>
      </c>
    </row>
    <row r="17" spans="1:24" ht="16.5" x14ac:dyDescent="0.3">
      <c r="A17" s="5" t="s">
        <v>12</v>
      </c>
      <c r="B17" s="16">
        <v>1500</v>
      </c>
      <c r="C17" s="16" cm="1">
        <f t="array" aca="1" ref="C17" ca="1">_xlfn.XLOOKUP(A17,INDIRECT("'Finances.xlsx'!incomes_"&amp;$A$2&amp;"[Category]"),INDIRECT("'Finances.xlsx'!incomes_"&amp;$A$2&amp;"[Total]"),0,0,1)</f>
        <v>4500</v>
      </c>
      <c r="D17" s="16">
        <f t="shared" ca="1" si="0"/>
        <v>3000</v>
      </c>
      <c r="E17" s="3"/>
      <c r="F17" s="34" t="s">
        <v>17</v>
      </c>
      <c r="G17" s="15">
        <v>130</v>
      </c>
      <c r="H17" s="15" cm="1">
        <f t="array" aca="1" ref="H17" ca="1">-_xlfn.XLOOKUP(F17,INDIRECT("'Finances.xlsx'!expenses_"&amp;$A$2&amp;"[Category]"),INDIRECT("'Finances.xlsx'!expenses_"&amp;$A$2&amp;"[Total]"),0,0,1)</f>
        <v>10</v>
      </c>
      <c r="I17" s="36">
        <f t="shared" ca="1" si="1"/>
        <v>120</v>
      </c>
      <c r="J17" s="3"/>
      <c r="K17" s="44" t="s">
        <v>26</v>
      </c>
      <c r="L17" s="22">
        <f ca="1">DATE(2025,$A$2,28)</f>
        <v>46019</v>
      </c>
      <c r="M17" s="14">
        <v>35</v>
      </c>
      <c r="N17" s="45"/>
      <c r="O17" s="3"/>
      <c r="P17" s="54" t="s">
        <v>41</v>
      </c>
      <c r="Q17" s="28">
        <f ca="1">DATE(2025,$A$2,23)</f>
        <v>46014</v>
      </c>
      <c r="R17" s="29">
        <v>42.69</v>
      </c>
      <c r="S17" s="55"/>
      <c r="T17" s="3"/>
      <c r="U17" s="64"/>
      <c r="V17" s="7"/>
      <c r="W17" s="65"/>
      <c r="X17" s="65">
        <f>Savings_12[[#This Row],[Planned]]-Savings_12[[#This Row],[Actual]]</f>
        <v>0</v>
      </c>
    </row>
    <row r="18" spans="1:24" ht="16.5" x14ac:dyDescent="0.3">
      <c r="A18" s="5" t="s">
        <v>13</v>
      </c>
      <c r="B18" s="16">
        <v>800</v>
      </c>
      <c r="C18" s="16" cm="1">
        <f t="array" aca="1" ref="C18" ca="1">_xlfn.XLOOKUP(A18,INDIRECT("'Finances.xlsx'!incomes_"&amp;$A$2&amp;"[Category]"),INDIRECT("'Finances.xlsx'!incomes_"&amp;$A$2&amp;"[Total]"),0,0,1)</f>
        <v>0</v>
      </c>
      <c r="D18" s="16">
        <f t="shared" ca="1" si="0"/>
        <v>-800</v>
      </c>
      <c r="E18" s="3"/>
      <c r="F18" s="34" t="s">
        <v>18</v>
      </c>
      <c r="G18" s="15">
        <v>130</v>
      </c>
      <c r="H18" s="15" cm="1">
        <f t="array" aca="1" ref="H18" ca="1">-_xlfn.XLOOKUP(F18,INDIRECT("'Finances.xlsx'!expenses_"&amp;$A$2&amp;"[Category]"),INDIRECT("'Finances.xlsx'!expenses_"&amp;$A$2&amp;"[Total]"),0,0,1)</f>
        <v>0</v>
      </c>
      <c r="I18" s="36">
        <f t="shared" ca="1" si="1"/>
        <v>130</v>
      </c>
      <c r="J18" s="3"/>
      <c r="K18" s="44" t="s">
        <v>27</v>
      </c>
      <c r="L18" s="22">
        <f ca="1">DATE(2025,$A$2,20)</f>
        <v>46011</v>
      </c>
      <c r="M18" s="14">
        <v>60</v>
      </c>
      <c r="N18" s="45"/>
      <c r="O18" s="3"/>
      <c r="P18" s="54"/>
      <c r="Q18" s="27"/>
      <c r="R18" s="29"/>
      <c r="S18" s="55"/>
      <c r="T18" s="3"/>
      <c r="U18" s="64"/>
      <c r="V18" s="7"/>
      <c r="W18" s="65"/>
      <c r="X18" s="65">
        <f>Savings_12[[#This Row],[Planned]]-Savings_12[[#This Row],[Actual]]</f>
        <v>0</v>
      </c>
    </row>
    <row r="19" spans="1:24" ht="16.5" x14ac:dyDescent="0.3">
      <c r="A19" s="5"/>
      <c r="B19" s="16"/>
      <c r="C19" s="16" cm="1">
        <f t="array" aca="1" ref="C19" ca="1">_xlfn.XLOOKUP(A19,INDIRECT("'Finances.xlsx'!incomes_"&amp;$A$2&amp;"[Category]"),INDIRECT("'Finances.xlsx'!incomes_"&amp;$A$2&amp;"[Total]"),0,0,1)</f>
        <v>0</v>
      </c>
      <c r="D19" s="16">
        <f t="shared" ca="1" si="0"/>
        <v>0</v>
      </c>
      <c r="E19" s="3"/>
      <c r="F19" s="34" t="s">
        <v>19</v>
      </c>
      <c r="G19" s="15">
        <v>200</v>
      </c>
      <c r="H19" s="15" cm="1">
        <f t="array" aca="1" ref="H19" ca="1">-_xlfn.XLOOKUP(F19,INDIRECT("'Finances.xlsx'!expenses_"&amp;$A$2&amp;"[Category]"),INDIRECT("'Finances.xlsx'!expenses_"&amp;$A$2&amp;"[Total]"),0,0,1)</f>
        <v>700</v>
      </c>
      <c r="I19" s="36">
        <f t="shared" ca="1" si="1"/>
        <v>-500</v>
      </c>
      <c r="J19" s="3"/>
      <c r="K19" s="44"/>
      <c r="L19" s="22"/>
      <c r="M19" s="14"/>
      <c r="N19" s="45"/>
      <c r="O19" s="3"/>
      <c r="P19" s="54"/>
      <c r="Q19" s="27"/>
      <c r="R19" s="29"/>
      <c r="S19" s="55"/>
      <c r="T19" s="3"/>
      <c r="U19" s="64"/>
      <c r="V19" s="7"/>
      <c r="W19" s="65"/>
      <c r="X19" s="65">
        <f>Savings_12[[#This Row],[Planned]]-Savings_12[[#This Row],[Actual]]</f>
        <v>0</v>
      </c>
    </row>
    <row r="20" spans="1:24" ht="16.5" x14ac:dyDescent="0.3">
      <c r="A20" s="17"/>
      <c r="B20" s="16"/>
      <c r="C20" s="16" cm="1">
        <f t="array" aca="1" ref="C20" ca="1">_xlfn.XLOOKUP(A20,INDIRECT("'Finances.xlsx'!incomes_"&amp;$A$2&amp;"[Category]"),INDIRECT("'Finances.xlsx'!incomes_"&amp;$A$2&amp;"[Total]"),0,0,1)</f>
        <v>0</v>
      </c>
      <c r="D20" s="16">
        <f t="shared" ca="1" si="0"/>
        <v>0</v>
      </c>
      <c r="E20" s="3"/>
      <c r="F20" s="35" t="s">
        <v>20</v>
      </c>
      <c r="G20" s="15">
        <v>200</v>
      </c>
      <c r="H20" s="15" cm="1">
        <f t="array" aca="1" ref="H20" ca="1">-_xlfn.XLOOKUP(F20,INDIRECT("'Finances.xlsx'!expenses_"&amp;$A$2&amp;"[Category]"),INDIRECT("'Finances.xlsx'!expenses_"&amp;$A$2&amp;"[Total]"),0,0,1)</f>
        <v>100</v>
      </c>
      <c r="I20" s="36">
        <f t="shared" ca="1" si="1"/>
        <v>100</v>
      </c>
      <c r="J20" s="3"/>
      <c r="K20" s="44"/>
      <c r="L20" s="6"/>
      <c r="M20" s="14"/>
      <c r="N20" s="45"/>
      <c r="O20" s="3"/>
      <c r="P20" s="54"/>
      <c r="Q20" s="27"/>
      <c r="R20" s="29"/>
      <c r="S20" s="55"/>
      <c r="T20" s="3"/>
      <c r="U20" s="64"/>
      <c r="V20" s="7"/>
      <c r="W20" s="65"/>
      <c r="X20" s="65">
        <f>Savings_12[[#This Row],[Planned]]-Savings_12[[#This Row],[Actual]]</f>
        <v>0</v>
      </c>
    </row>
    <row r="21" spans="1:24" ht="16.5" x14ac:dyDescent="0.3">
      <c r="A21" s="5"/>
      <c r="B21" s="16"/>
      <c r="C21" s="16" cm="1">
        <f t="array" aca="1" ref="C21" ca="1">_xlfn.XLOOKUP(A21,INDIRECT("'Finances.xlsx'!incomes_"&amp;$A$2&amp;"[Category]"),INDIRECT("'Finances.xlsx'!incomes_"&amp;$A$2&amp;"[Total]"),0,0,1)</f>
        <v>0</v>
      </c>
      <c r="D21" s="16">
        <f t="shared" ca="1" si="0"/>
        <v>0</v>
      </c>
      <c r="E21" s="3"/>
      <c r="F21" s="34" t="s">
        <v>21</v>
      </c>
      <c r="G21" s="15">
        <v>150</v>
      </c>
      <c r="H21" s="15" cm="1">
        <f t="array" aca="1" ref="H21" ca="1">-_xlfn.XLOOKUP(F21,INDIRECT("'Finances.xlsx'!expenses_"&amp;$A$2&amp;"[Category]"),INDIRECT("'Finances.xlsx'!expenses_"&amp;$A$2&amp;"[Total]"),0,0,1)</f>
        <v>0</v>
      </c>
      <c r="I21" s="36">
        <f t="shared" ca="1" si="1"/>
        <v>150</v>
      </c>
      <c r="J21" s="3"/>
      <c r="K21" s="43"/>
      <c r="L21" s="2"/>
      <c r="M21" s="14"/>
      <c r="N21" s="45"/>
      <c r="O21" s="3"/>
      <c r="P21" s="54"/>
      <c r="Q21" s="27"/>
      <c r="R21" s="29"/>
      <c r="S21" s="55"/>
      <c r="T21" s="3"/>
      <c r="U21" s="64"/>
      <c r="V21" s="7"/>
      <c r="W21" s="65"/>
      <c r="X21" s="65">
        <f>Savings_12[[#This Row],[Planned]]-Savings_12[[#This Row],[Actual]]</f>
        <v>0</v>
      </c>
    </row>
    <row r="22" spans="1:24" ht="16.5" x14ac:dyDescent="0.3">
      <c r="A22" s="5"/>
      <c r="B22" s="16"/>
      <c r="C22" s="16" cm="1">
        <f t="array" aca="1" ref="C22" ca="1">_xlfn.XLOOKUP(A22,INDIRECT("'Finances.xlsx'!incomes_"&amp;$A$2&amp;"[Category]"),INDIRECT("'Finances.xlsx'!incomes_"&amp;$A$2&amp;"[Total]"),0,0,1)</f>
        <v>0</v>
      </c>
      <c r="D22" s="16">
        <f t="shared" ca="1" si="0"/>
        <v>0</v>
      </c>
      <c r="E22" s="3"/>
      <c r="F22" s="34"/>
      <c r="G22" s="15"/>
      <c r="H22" s="15"/>
      <c r="I22" s="36">
        <f t="shared" si="1"/>
        <v>0</v>
      </c>
      <c r="J22" s="3"/>
      <c r="K22" s="44"/>
      <c r="L22" s="6"/>
      <c r="M22" s="14"/>
      <c r="N22" s="45"/>
      <c r="O22" s="3"/>
      <c r="P22" s="54"/>
      <c r="Q22" s="27"/>
      <c r="R22" s="29"/>
      <c r="S22" s="55"/>
      <c r="T22" s="3"/>
      <c r="U22" s="64"/>
      <c r="V22" s="7"/>
      <c r="W22" s="65"/>
      <c r="X22" s="65">
        <f>Savings_12[[#This Row],[Planned]]-Savings_12[[#This Row],[Actual]]</f>
        <v>0</v>
      </c>
    </row>
    <row r="23" spans="1:24" ht="16.5" x14ac:dyDescent="0.3">
      <c r="A23" s="5"/>
      <c r="B23" s="16"/>
      <c r="C23" s="16" cm="1">
        <f t="array" aca="1" ref="C23" ca="1">_xlfn.XLOOKUP(A23,INDIRECT("'Finances.xlsx'!incomes_"&amp;$A$2&amp;"[Category]"),INDIRECT("'Finances.xlsx'!incomes_"&amp;$A$2&amp;"[Total]"),0,0,1)</f>
        <v>0</v>
      </c>
      <c r="D23" s="16">
        <f t="shared" ca="1" si="0"/>
        <v>0</v>
      </c>
      <c r="E23" s="3"/>
      <c r="F23" s="34"/>
      <c r="G23" s="15"/>
      <c r="H23" s="15"/>
      <c r="I23" s="36">
        <f t="shared" si="1"/>
        <v>0</v>
      </c>
      <c r="J23" s="3"/>
      <c r="K23" s="44"/>
      <c r="L23" s="6"/>
      <c r="M23" s="14"/>
      <c r="N23" s="45"/>
      <c r="O23" s="3"/>
      <c r="P23" s="54"/>
      <c r="Q23" s="27"/>
      <c r="R23" s="29"/>
      <c r="S23" s="55"/>
      <c r="T23" s="3"/>
      <c r="U23" s="64"/>
      <c r="V23" s="7"/>
      <c r="W23" s="65"/>
      <c r="X23" s="65">
        <f>Savings_12[[#This Row],[Planned]]-Savings_12[[#This Row],[Actual]]</f>
        <v>0</v>
      </c>
    </row>
    <row r="24" spans="1:24" ht="16.5" x14ac:dyDescent="0.3">
      <c r="A24" s="5"/>
      <c r="B24" s="16"/>
      <c r="C24" s="16" cm="1">
        <f t="array" aca="1" ref="C24" ca="1">_xlfn.XLOOKUP(A24,INDIRECT("'Finances.xlsx'!incomes_"&amp;$A$2&amp;"[Category]"),INDIRECT("'Finances.xlsx'!incomes_"&amp;$A$2&amp;"[Total]"),0,0,1)</f>
        <v>0</v>
      </c>
      <c r="D24" s="16">
        <f t="shared" ca="1" si="0"/>
        <v>0</v>
      </c>
      <c r="E24" s="3"/>
      <c r="F24" s="34"/>
      <c r="G24" s="15"/>
      <c r="H24" s="15"/>
      <c r="I24" s="36">
        <f t="shared" si="1"/>
        <v>0</v>
      </c>
      <c r="J24" s="3"/>
      <c r="K24" s="44"/>
      <c r="L24" s="6"/>
      <c r="M24" s="14"/>
      <c r="N24" s="45"/>
      <c r="O24" s="3"/>
      <c r="P24" s="54"/>
      <c r="Q24" s="27"/>
      <c r="R24" s="29"/>
      <c r="S24" s="55"/>
      <c r="T24" s="3"/>
      <c r="U24" s="64"/>
      <c r="V24" s="7"/>
      <c r="W24" s="65"/>
      <c r="X24" s="65">
        <f>Savings_12[[#This Row],[Planned]]-Savings_12[[#This Row],[Actual]]</f>
        <v>0</v>
      </c>
    </row>
    <row r="25" spans="1:24" ht="16.5" x14ac:dyDescent="0.3">
      <c r="A25" s="5"/>
      <c r="B25" s="16"/>
      <c r="C25" s="16" cm="1">
        <f t="array" aca="1" ref="C25" ca="1">_xlfn.XLOOKUP(A25,INDIRECT("'Finances.xlsx'!incomes_"&amp;$A$2&amp;"[Category]"),INDIRECT("'Finances.xlsx'!incomes_"&amp;$A$2&amp;"[Total]"),0,0,1)</f>
        <v>0</v>
      </c>
      <c r="D25" s="16">
        <f t="shared" ca="1" si="0"/>
        <v>0</v>
      </c>
      <c r="E25" s="3"/>
      <c r="F25" s="34"/>
      <c r="G25" s="15"/>
      <c r="H25" s="15"/>
      <c r="I25" s="36">
        <f t="shared" si="1"/>
        <v>0</v>
      </c>
      <c r="J25" s="3"/>
      <c r="K25" s="44"/>
      <c r="L25" s="6"/>
      <c r="M25" s="14"/>
      <c r="N25" s="45"/>
      <c r="O25" s="3"/>
      <c r="P25" s="54"/>
      <c r="Q25" s="27"/>
      <c r="R25" s="29"/>
      <c r="S25" s="55"/>
      <c r="T25" s="3"/>
      <c r="U25" s="64"/>
      <c r="V25" s="7"/>
      <c r="W25" s="65"/>
      <c r="X25" s="65">
        <f>Savings_12[[#This Row],[Planned]]-Savings_12[[#This Row],[Actual]]</f>
        <v>0</v>
      </c>
    </row>
    <row r="26" spans="1:24" ht="16.5" x14ac:dyDescent="0.3">
      <c r="A26" s="5"/>
      <c r="B26" s="16"/>
      <c r="C26" s="16" cm="1">
        <f t="array" aca="1" ref="C26" ca="1">_xlfn.XLOOKUP(A26,INDIRECT("'Finances.xlsx'!incomes_"&amp;$A$2&amp;"[Category]"),INDIRECT("'Finances.xlsx'!incomes_"&amp;$A$2&amp;"[Total]"),0,0,1)</f>
        <v>0</v>
      </c>
      <c r="D26" s="16">
        <f t="shared" ca="1" si="0"/>
        <v>0</v>
      </c>
      <c r="E26" s="3"/>
      <c r="F26" s="34"/>
      <c r="G26" s="15"/>
      <c r="H26" s="15"/>
      <c r="I26" s="36">
        <f t="shared" si="1"/>
        <v>0</v>
      </c>
      <c r="J26" s="3"/>
      <c r="K26" s="44"/>
      <c r="L26" s="6"/>
      <c r="M26" s="14"/>
      <c r="N26" s="45"/>
      <c r="O26" s="3"/>
      <c r="P26" s="54"/>
      <c r="Q26" s="27"/>
      <c r="R26" s="29"/>
      <c r="S26" s="55"/>
      <c r="T26" s="3"/>
      <c r="U26" s="64"/>
      <c r="V26" s="7"/>
      <c r="W26" s="65"/>
      <c r="X26" s="65">
        <f>Savings_12[[#This Row],[Planned]]-Savings_12[[#This Row],[Actual]]</f>
        <v>0</v>
      </c>
    </row>
    <row r="27" spans="1:24" ht="16.5" x14ac:dyDescent="0.3">
      <c r="A27" s="30"/>
      <c r="B27" s="31"/>
      <c r="C27" s="31" cm="1">
        <f t="array" aca="1" ref="C27" ca="1">_xlfn.XLOOKUP(A27,INDIRECT("'Finances.xlsx'!incomes_"&amp;$A$2&amp;"[Category]"),INDIRECT("'Finances.xlsx'!incomes_"&amp;$A$2&amp;"[Total]"),0,0,1)</f>
        <v>0</v>
      </c>
      <c r="D27" s="31">
        <f t="shared" ca="1" si="0"/>
        <v>0</v>
      </c>
      <c r="E27" s="3"/>
      <c r="F27" s="40"/>
      <c r="G27" s="41"/>
      <c r="H27" s="41"/>
      <c r="I27" s="42">
        <f t="shared" si="1"/>
        <v>0</v>
      </c>
      <c r="J27" s="3"/>
      <c r="K27" s="50"/>
      <c r="L27" s="51"/>
      <c r="M27" s="52"/>
      <c r="N27" s="53"/>
      <c r="O27" s="3"/>
      <c r="P27" s="60"/>
      <c r="Q27" s="61"/>
      <c r="R27" s="62"/>
      <c r="S27" s="63"/>
      <c r="T27" s="3"/>
      <c r="U27" s="69"/>
      <c r="V27" s="70"/>
      <c r="W27" s="71"/>
      <c r="X27" s="65">
        <f>Savings_12[[#This Row],[Planned]]-Savings_12[[#This Row],[Actual]]</f>
        <v>0</v>
      </c>
    </row>
    <row r="28" spans="1:24" ht="16.5" x14ac:dyDescent="0.3">
      <c r="A28" s="32" t="s">
        <v>44</v>
      </c>
      <c r="B28" s="33">
        <f>SUBTOTAL(109,Income_12[Planned])</f>
        <v>5700</v>
      </c>
      <c r="C28" s="33">
        <f ca="1">SUBTOTAL(109,Income_12[Actual])</f>
        <v>6500</v>
      </c>
      <c r="D28" s="33">
        <f ca="1">SUBTOTAL(109,Income_12[Left])</f>
        <v>800</v>
      </c>
      <c r="E28" s="3"/>
      <c r="F28" s="8" t="s">
        <v>44</v>
      </c>
      <c r="G28" s="88">
        <f>SUBTOTAL(109,Expenses_12[Planned])</f>
        <v>3795</v>
      </c>
      <c r="H28" s="88">
        <f ca="1">SUBTOTAL(109,Expenses_12[Actual])</f>
        <v>4080</v>
      </c>
      <c r="I28" s="88">
        <f ca="1">SUBTOTAL(109,Expenses_12[Left])</f>
        <v>-285</v>
      </c>
      <c r="J28" s="9"/>
      <c r="K28" s="10" t="s">
        <v>44</v>
      </c>
      <c r="L28" s="10"/>
      <c r="M28" s="11">
        <f>SUBTOTAL(109,Bills_12[Planned])</f>
        <v>2515</v>
      </c>
      <c r="N28" s="11">
        <f>SUBTOTAL(103,Bills_12[Actual])</f>
        <v>0</v>
      </c>
      <c r="O28" s="9"/>
      <c r="P28" s="12" t="s">
        <v>44</v>
      </c>
      <c r="Q28" s="12"/>
      <c r="R28" s="72">
        <f>SUBTOTAL(109,Subscriptions_12[Planned])</f>
        <v>211.67000000000002</v>
      </c>
      <c r="S28" s="72">
        <f>SUBTOTAL(109,Subscriptions_12[Actual])</f>
        <v>0</v>
      </c>
      <c r="T28" s="9"/>
      <c r="U28" s="13" t="s">
        <v>44</v>
      </c>
      <c r="V28" s="73">
        <f>SUBTOTAL(109,Savings_12[Planned])</f>
        <v>1905</v>
      </c>
      <c r="W28" s="73">
        <f>SUBTOTAL(109,Savings_12[Actual])</f>
        <v>0</v>
      </c>
      <c r="X28" s="74">
        <f>SUBTOTAL(109,Savings_12[Left])</f>
        <v>1905</v>
      </c>
    </row>
    <row r="33" spans="16:17" x14ac:dyDescent="0.25">
      <c r="P33" s="1"/>
      <c r="Q33" s="1"/>
    </row>
  </sheetData>
  <mergeCells count="7">
    <mergeCell ref="U11:X11"/>
    <mergeCell ref="A1:C1"/>
    <mergeCell ref="A2:C2"/>
    <mergeCell ref="A11:D11"/>
    <mergeCell ref="F11:I11"/>
    <mergeCell ref="K11:N11"/>
    <mergeCell ref="P11:S11"/>
  </mergeCells>
  <conditionalFormatting sqref="L13:L27">
    <cfRule type="cellIs" dxfId="46" priority="2" operator="lessThan">
      <formula>TODAY()</formula>
    </cfRule>
  </conditionalFormatting>
  <conditionalFormatting sqref="Q13:Q17">
    <cfRule type="cellIs" dxfId="45" priority="1" operator="lessThan">
      <formula>TODAY()</formula>
    </cfRule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Karolina Gądor</dc:creator>
  <cp:lastModifiedBy>Karolina Gądor</cp:lastModifiedBy>
  <dcterms:created xsi:type="dcterms:W3CDTF">2025-10-31T12:21:09Z</dcterms:created>
  <dcterms:modified xsi:type="dcterms:W3CDTF">2026-09-30T15:40:34Z</dcterms:modified>
</cp:coreProperties>
</file>