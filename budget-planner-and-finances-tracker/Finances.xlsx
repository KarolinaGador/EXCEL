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b468f7e44bd1a6/Pulpit/"/>
    </mc:Choice>
  </mc:AlternateContent>
  <xr:revisionPtr revIDLastSave="3" documentId="8_{0E32CD2F-8190-4CBC-A993-6021ABBC0AD6}" xr6:coauthVersionLast="47" xr6:coauthVersionMax="47" xr10:uidLastSave="{39E34F31-AD08-442A-BDD3-68BAAEE0782E}"/>
  <bookViews>
    <workbookView xWindow="-120" yWindow="-120" windowWidth="29040" windowHeight="15720" activeTab="3" xr2:uid="{19EE711A-3283-4873-9107-9C9869A047C7}"/>
  </bookViews>
  <sheets>
    <sheet name="summary1" sheetId="21" r:id="rId1"/>
    <sheet name="summary2" sheetId="22" r:id="rId2"/>
    <sheet name="summary3" sheetId="23" r:id="rId3"/>
    <sheet name="operations" sheetId="2" r:id="rId4"/>
    <sheet name="Dicionary" sheetId="3" r:id="rId5"/>
    <sheet name="1" sheetId="6" r:id="rId6"/>
    <sheet name="2" sheetId="7" r:id="rId7"/>
    <sheet name="3" sheetId="8" r:id="rId8"/>
    <sheet name="4" sheetId="11" r:id="rId9"/>
    <sheet name="5" sheetId="12" r:id="rId10"/>
    <sheet name="6" sheetId="13" r:id="rId11"/>
    <sheet name="7" sheetId="14" r:id="rId12"/>
    <sheet name="8" sheetId="15" r:id="rId13"/>
    <sheet name="9" sheetId="16" r:id="rId14"/>
    <sheet name="10" sheetId="17" r:id="rId15"/>
    <sheet name="11" sheetId="18" r:id="rId16"/>
    <sheet name="12" sheetId="19" r:id="rId17"/>
  </sheets>
  <definedNames>
    <definedName name="_xlnm._FilterDatabase" localSheetId="4" hidden="1">Dicionary!$A$1:$B$17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2" l="1"/>
  <c r="G208" i="2"/>
  <c r="B18" i="21"/>
  <c r="A18" i="21"/>
  <c r="B11" i="19" a="1"/>
  <c r="B11" i="19" s="1"/>
  <c r="B11" i="18" a="1"/>
  <c r="B11" i="18" s="1"/>
  <c r="B11" i="17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8" a="1"/>
  <c r="B11" i="8" s="1"/>
  <c r="B11" i="7" a="1"/>
  <c r="B11" i="7" s="1"/>
  <c r="B11" i="6" a="1"/>
  <c r="B11" i="6" s="1"/>
  <c r="C9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C9" i="22" l="1"/>
  <c r="J12" i="21" a="1"/>
  <c r="J12" i="21" s="1"/>
  <c r="C6" i="21" a="1"/>
  <c r="C6" i="21" s="1"/>
  <c r="D2" i="21" a="1"/>
  <c r="D2" i="21" s="1"/>
  <c r="C12" i="21" a="1"/>
  <c r="C12" i="21" s="1"/>
  <c r="E3" i="22"/>
  <c r="G5" i="22"/>
  <c r="F17" i="22"/>
  <c r="L11" i="21" a="1"/>
  <c r="L11" i="21" s="1"/>
  <c r="G13" i="21" a="1"/>
  <c r="G13" i="21" s="1"/>
  <c r="L10" i="22"/>
  <c r="F4" i="22"/>
  <c r="N10" i="21" a="1"/>
  <c r="N10" i="21" s="1"/>
  <c r="C4" i="21" a="1"/>
  <c r="C4" i="21" s="1"/>
  <c r="G10" i="21" a="1"/>
  <c r="G10" i="21" s="1"/>
  <c r="E17" i="21" a="1"/>
  <c r="E17" i="21" s="1"/>
  <c r="I5" i="22"/>
  <c r="M9" i="22"/>
  <c r="M12" i="22"/>
  <c r="C2" i="21" a="1"/>
  <c r="C2" i="21" s="1"/>
  <c r="C10" i="21" a="1"/>
  <c r="C10" i="21" s="1"/>
  <c r="H6" i="22"/>
  <c r="J8" i="22"/>
  <c r="K2" i="21" a="1"/>
  <c r="K2" i="21" s="1"/>
  <c r="E9" i="21" a="1"/>
  <c r="E9" i="21" s="1"/>
  <c r="G19" i="22"/>
  <c r="G20" i="22" s="1"/>
  <c r="D15" i="22"/>
  <c r="J6" i="21" a="1"/>
  <c r="J6" i="21" s="1"/>
  <c r="N13" i="22"/>
  <c r="L17" i="21" a="1"/>
  <c r="L17" i="21" s="1"/>
  <c r="E15" i="21" a="1"/>
  <c r="E15" i="21" s="1"/>
  <c r="G3" i="22"/>
  <c r="L13" i="21" a="1"/>
  <c r="L13" i="21" s="1"/>
  <c r="M5" i="21" a="1"/>
  <c r="M5" i="21" s="1"/>
  <c r="L8" i="22"/>
  <c r="G14" i="21" a="1"/>
  <c r="G14" i="21" s="1"/>
  <c r="I7" i="22"/>
  <c r="N16" i="21" a="1"/>
  <c r="N16" i="21" s="1"/>
  <c r="I19" i="22"/>
  <c r="I20" i="22" s="1"/>
  <c r="G16" i="21" a="1"/>
  <c r="G16" i="21" s="1"/>
  <c r="H17" i="22"/>
  <c r="K9" i="22"/>
  <c r="D2" i="22"/>
  <c r="C16" i="21" a="1"/>
  <c r="C16" i="21" s="1"/>
  <c r="D13" i="22"/>
  <c r="E16" i="22"/>
  <c r="N12" i="21" a="1"/>
  <c r="N12" i="21" s="1"/>
  <c r="F2" i="22"/>
  <c r="M3" i="21" a="1"/>
  <c r="M3" i="21" s="1"/>
  <c r="E14" i="22"/>
  <c r="J6" i="22"/>
  <c r="I2" i="21" a="1"/>
  <c r="I2" i="21" s="1"/>
  <c r="I17" i="21" a="1"/>
  <c r="I17" i="21" s="1"/>
  <c r="K16" i="21" a="1"/>
  <c r="K16" i="21" s="1"/>
  <c r="M15" i="21" a="1"/>
  <c r="M15" i="21" s="1"/>
  <c r="D14" i="21" a="1"/>
  <c r="D14" i="21" s="1"/>
  <c r="F13" i="21" a="1"/>
  <c r="F13" i="21" s="1"/>
  <c r="H12" i="21" a="1"/>
  <c r="H12" i="21" s="1"/>
  <c r="I11" i="21" a="1"/>
  <c r="I11" i="21" s="1"/>
  <c r="K10" i="21" a="1"/>
  <c r="K10" i="21" s="1"/>
  <c r="M9" i="21" a="1"/>
  <c r="M9" i="21" s="1"/>
  <c r="D8" i="21" a="1"/>
  <c r="D8" i="21" s="1"/>
  <c r="F7" i="21" a="1"/>
  <c r="F7" i="21" s="1"/>
  <c r="H6" i="21" a="1"/>
  <c r="H6" i="21" s="1"/>
  <c r="G4" i="21" a="1"/>
  <c r="G4" i="21" s="1"/>
  <c r="C2" i="22"/>
  <c r="C6" i="22"/>
  <c r="F19" i="22"/>
  <c r="F20" i="22" s="1"/>
  <c r="E17" i="22"/>
  <c r="D16" i="22"/>
  <c r="N14" i="22"/>
  <c r="M13" i="22"/>
  <c r="L12" i="22"/>
  <c r="K10" i="22"/>
  <c r="J9" i="22"/>
  <c r="I8" i="22"/>
  <c r="H7" i="22"/>
  <c r="G6" i="22"/>
  <c r="F5" i="22"/>
  <c r="E4" i="22"/>
  <c r="D3" i="22"/>
  <c r="G8" i="21" a="1"/>
  <c r="G8" i="21" s="1"/>
  <c r="F15" i="22"/>
  <c r="H4" i="22"/>
  <c r="H2" i="21" a="1"/>
  <c r="H2" i="21" s="1"/>
  <c r="J16" i="21" a="1"/>
  <c r="J16" i="21" s="1"/>
  <c r="L15" i="21" a="1"/>
  <c r="L15" i="21" s="1"/>
  <c r="N14" i="21" a="1"/>
  <c r="N14" i="21" s="1"/>
  <c r="C14" i="21" a="1"/>
  <c r="C14" i="21" s="1"/>
  <c r="E13" i="21" a="1"/>
  <c r="E13" i="21" s="1"/>
  <c r="G12" i="21" a="1"/>
  <c r="G12" i="21" s="1"/>
  <c r="J10" i="21" a="1"/>
  <c r="J10" i="21" s="1"/>
  <c r="L9" i="21" a="1"/>
  <c r="L9" i="21" s="1"/>
  <c r="N8" i="21" a="1"/>
  <c r="N8" i="21" s="1"/>
  <c r="C8" i="21" a="1"/>
  <c r="C8" i="21" s="1"/>
  <c r="E7" i="21" a="1"/>
  <c r="E7" i="21" s="1"/>
  <c r="G6" i="21" a="1"/>
  <c r="G6" i="21" s="1"/>
  <c r="J5" i="21" a="1"/>
  <c r="J5" i="21" s="1"/>
  <c r="N4" i="21" a="1"/>
  <c r="N4" i="21" s="1"/>
  <c r="F4" i="21" a="1"/>
  <c r="F4" i="21" s="1"/>
  <c r="J3" i="21" a="1"/>
  <c r="J3" i="21" s="1"/>
  <c r="C19" i="22"/>
  <c r="C20" i="22" s="1"/>
  <c r="C5" i="22"/>
  <c r="E19" i="22"/>
  <c r="E20" i="22" s="1"/>
  <c r="D17" i="22"/>
  <c r="N15" i="22"/>
  <c r="M14" i="22"/>
  <c r="L13" i="22"/>
  <c r="K12" i="22"/>
  <c r="J10" i="22"/>
  <c r="I9" i="22"/>
  <c r="H8" i="22"/>
  <c r="G7" i="22"/>
  <c r="F6" i="22"/>
  <c r="E5" i="22"/>
  <c r="D4" i="22"/>
  <c r="N2" i="22"/>
  <c r="G2" i="21" a="1"/>
  <c r="G2" i="21" s="1"/>
  <c r="H17" i="21" a="1"/>
  <c r="H17" i="21" s="1"/>
  <c r="I16" i="21" a="1"/>
  <c r="I16" i="21" s="1"/>
  <c r="K15" i="21" a="1"/>
  <c r="K15" i="21" s="1"/>
  <c r="M14" i="21" a="1"/>
  <c r="M14" i="21" s="1"/>
  <c r="D13" i="21" a="1"/>
  <c r="D13" i="21" s="1"/>
  <c r="F12" i="21" a="1"/>
  <c r="F12" i="21" s="1"/>
  <c r="H11" i="21" a="1"/>
  <c r="H11" i="21" s="1"/>
  <c r="I10" i="21" a="1"/>
  <c r="I10" i="21" s="1"/>
  <c r="K9" i="21" a="1"/>
  <c r="K9" i="21" s="1"/>
  <c r="M8" i="21" a="1"/>
  <c r="M8" i="21" s="1"/>
  <c r="D7" i="21" a="1"/>
  <c r="D7" i="21" s="1"/>
  <c r="F6" i="21" a="1"/>
  <c r="F6" i="21" s="1"/>
  <c r="I5" i="21" a="1"/>
  <c r="I5" i="21" s="1"/>
  <c r="E4" i="21" a="1"/>
  <c r="E4" i="21" s="1"/>
  <c r="I3" i="21" a="1"/>
  <c r="I3" i="21" s="1"/>
  <c r="C17" i="22"/>
  <c r="C4" i="22"/>
  <c r="D19" i="22"/>
  <c r="D20" i="22" s="1"/>
  <c r="N16" i="22"/>
  <c r="M15" i="22"/>
  <c r="L14" i="22"/>
  <c r="K13" i="22"/>
  <c r="J12" i="22"/>
  <c r="I10" i="22"/>
  <c r="H9" i="22"/>
  <c r="G8" i="22"/>
  <c r="F7" i="22"/>
  <c r="E6" i="22"/>
  <c r="D5" i="22"/>
  <c r="N3" i="22"/>
  <c r="M2" i="22"/>
  <c r="G16" i="22"/>
  <c r="N10" i="22"/>
  <c r="D4" i="6"/>
  <c r="E4" i="6" s="1"/>
  <c r="F2" i="21" a="1"/>
  <c r="F2" i="21" s="1"/>
  <c r="G17" i="21" a="1"/>
  <c r="G17" i="21" s="1"/>
  <c r="J15" i="21" a="1"/>
  <c r="J15" i="21" s="1"/>
  <c r="L14" i="21" a="1"/>
  <c r="L14" i="21" s="1"/>
  <c r="N13" i="21" a="1"/>
  <c r="N13" i="21" s="1"/>
  <c r="C13" i="21" a="1"/>
  <c r="C13" i="21" s="1"/>
  <c r="E12" i="21" a="1"/>
  <c r="E12" i="21" s="1"/>
  <c r="G11" i="21" a="1"/>
  <c r="G11" i="21" s="1"/>
  <c r="J9" i="21" a="1"/>
  <c r="J9" i="21" s="1"/>
  <c r="L8" i="21" a="1"/>
  <c r="L8" i="21" s="1"/>
  <c r="N7" i="21" a="1"/>
  <c r="N7" i="21" s="1"/>
  <c r="C7" i="21" a="1"/>
  <c r="C7" i="21" s="1"/>
  <c r="E6" i="21" a="1"/>
  <c r="E6" i="21" s="1"/>
  <c r="M4" i="21" a="1"/>
  <c r="M4" i="21" s="1"/>
  <c r="C16" i="22"/>
  <c r="C3" i="22"/>
  <c r="N17" i="22"/>
  <c r="M16" i="22"/>
  <c r="L15" i="22"/>
  <c r="K14" i="22"/>
  <c r="J13" i="22"/>
  <c r="I12" i="22"/>
  <c r="H10" i="22"/>
  <c r="G9" i="22"/>
  <c r="F8" i="22"/>
  <c r="E7" i="22"/>
  <c r="D6" i="22"/>
  <c r="N4" i="22"/>
  <c r="M3" i="22"/>
  <c r="L2" i="22"/>
  <c r="E2" i="21" a="1"/>
  <c r="E2" i="21" s="1"/>
  <c r="F17" i="21" a="1"/>
  <c r="F17" i="21" s="1"/>
  <c r="H16" i="21" a="1"/>
  <c r="H16" i="21" s="1"/>
  <c r="I15" i="21" a="1"/>
  <c r="I15" i="21" s="1"/>
  <c r="K14" i="21" a="1"/>
  <c r="K14" i="21" s="1"/>
  <c r="M13" i="21" a="1"/>
  <c r="M13" i="21" s="1"/>
  <c r="D12" i="21" a="1"/>
  <c r="D12" i="21" s="1"/>
  <c r="F11" i="21" a="1"/>
  <c r="F11" i="21" s="1"/>
  <c r="H10" i="21" a="1"/>
  <c r="H10" i="21" s="1"/>
  <c r="I9" i="21" a="1"/>
  <c r="I9" i="21" s="1"/>
  <c r="K8" i="21" a="1"/>
  <c r="K8" i="21" s="1"/>
  <c r="M7" i="21" a="1"/>
  <c r="M7" i="21" s="1"/>
  <c r="D6" i="21" a="1"/>
  <c r="D6" i="21" s="1"/>
  <c r="H5" i="21" a="1"/>
  <c r="H5" i="21" s="1"/>
  <c r="L4" i="21" a="1"/>
  <c r="L4" i="21" s="1"/>
  <c r="D4" i="21" a="1"/>
  <c r="D4" i="21" s="1"/>
  <c r="H3" i="21" a="1"/>
  <c r="H3" i="21" s="1"/>
  <c r="C15" i="22"/>
  <c r="N19" i="22"/>
  <c r="N20" i="22" s="1"/>
  <c r="M17" i="22"/>
  <c r="L16" i="22"/>
  <c r="K15" i="22"/>
  <c r="J14" i="22"/>
  <c r="I13" i="22"/>
  <c r="H12" i="22"/>
  <c r="G10" i="22"/>
  <c r="F9" i="22"/>
  <c r="E8" i="22"/>
  <c r="D7" i="22"/>
  <c r="N5" i="22"/>
  <c r="M4" i="22"/>
  <c r="L3" i="22"/>
  <c r="K2" i="22"/>
  <c r="J14" i="21" a="1"/>
  <c r="J14" i="21" s="1"/>
  <c r="E11" i="21" a="1"/>
  <c r="E11" i="21" s="1"/>
  <c r="J8" i="21" a="1"/>
  <c r="J8" i="21" s="1"/>
  <c r="L7" i="21" a="1"/>
  <c r="L7" i="21" s="1"/>
  <c r="N6" i="21" a="1"/>
  <c r="N6" i="21" s="1"/>
  <c r="K4" i="21" a="1"/>
  <c r="K4" i="21" s="1"/>
  <c r="C14" i="22"/>
  <c r="M19" i="22"/>
  <c r="M20" i="22" s="1"/>
  <c r="L17" i="22"/>
  <c r="K16" i="22"/>
  <c r="J15" i="22"/>
  <c r="I14" i="22"/>
  <c r="H13" i="22"/>
  <c r="G12" i="22"/>
  <c r="F10" i="22"/>
  <c r="E9" i="22"/>
  <c r="D8" i="22"/>
  <c r="N6" i="22"/>
  <c r="M5" i="22"/>
  <c r="L4" i="22"/>
  <c r="K3" i="22"/>
  <c r="J2" i="22"/>
  <c r="N2" i="21" a="1"/>
  <c r="N2" i="21" s="1"/>
  <c r="D17" i="21" a="1"/>
  <c r="D17" i="21" s="1"/>
  <c r="F16" i="21" a="1"/>
  <c r="F16" i="21" s="1"/>
  <c r="H15" i="21" a="1"/>
  <c r="H15" i="21" s="1"/>
  <c r="I14" i="21" a="1"/>
  <c r="I14" i="21" s="1"/>
  <c r="K13" i="21" a="1"/>
  <c r="K13" i="21" s="1"/>
  <c r="M12" i="21" a="1"/>
  <c r="M12" i="21" s="1"/>
  <c r="D11" i="21" a="1"/>
  <c r="D11" i="21" s="1"/>
  <c r="F10" i="21" a="1"/>
  <c r="F10" i="21" s="1"/>
  <c r="H9" i="21" a="1"/>
  <c r="H9" i="21" s="1"/>
  <c r="I8" i="21" a="1"/>
  <c r="I8" i="21" s="1"/>
  <c r="K7" i="21" a="1"/>
  <c r="K7" i="21" s="1"/>
  <c r="M6" i="21" a="1"/>
  <c r="M6" i="21" s="1"/>
  <c r="G5" i="21" a="1"/>
  <c r="G5" i="21" s="1"/>
  <c r="G3" i="21" a="1"/>
  <c r="G3" i="21" s="1"/>
  <c r="C13" i="22"/>
  <c r="L19" i="22"/>
  <c r="L20" i="22" s="1"/>
  <c r="K17" i="22"/>
  <c r="J16" i="22"/>
  <c r="I15" i="22"/>
  <c r="H14" i="22"/>
  <c r="G13" i="22"/>
  <c r="F12" i="22"/>
  <c r="E10" i="22"/>
  <c r="D9" i="22"/>
  <c r="N7" i="22"/>
  <c r="M6" i="22"/>
  <c r="L5" i="22"/>
  <c r="K4" i="22"/>
  <c r="J3" i="22"/>
  <c r="I2" i="22"/>
  <c r="M2" i="21" a="1"/>
  <c r="M2" i="21" s="1"/>
  <c r="N17" i="21" a="1"/>
  <c r="N17" i="21" s="1"/>
  <c r="C17" i="21" a="1"/>
  <c r="C17" i="21" s="1"/>
  <c r="E16" i="21" a="1"/>
  <c r="E16" i="21" s="1"/>
  <c r="G15" i="21" a="1"/>
  <c r="G15" i="21" s="1"/>
  <c r="J13" i="21" a="1"/>
  <c r="J13" i="21" s="1"/>
  <c r="L12" i="21" a="1"/>
  <c r="L12" i="21" s="1"/>
  <c r="N11" i="21" a="1"/>
  <c r="N11" i="21" s="1"/>
  <c r="C11" i="21" a="1"/>
  <c r="C11" i="21" s="1"/>
  <c r="E10" i="21" a="1"/>
  <c r="E10" i="21" s="1"/>
  <c r="G9" i="21" a="1"/>
  <c r="G9" i="21" s="1"/>
  <c r="J7" i="21" a="1"/>
  <c r="J7" i="21" s="1"/>
  <c r="L6" i="21" a="1"/>
  <c r="L6" i="21" s="1"/>
  <c r="N5" i="21" a="1"/>
  <c r="N5" i="21" s="1"/>
  <c r="F5" i="21" a="1"/>
  <c r="F5" i="21" s="1"/>
  <c r="J4" i="21" a="1"/>
  <c r="J4" i="21" s="1"/>
  <c r="N3" i="21" a="1"/>
  <c r="N3" i="21" s="1"/>
  <c r="F3" i="21" a="1"/>
  <c r="F3" i="21" s="1"/>
  <c r="C12" i="22"/>
  <c r="K19" i="22"/>
  <c r="K20" i="22" s="1"/>
  <c r="J17" i="22"/>
  <c r="I16" i="22"/>
  <c r="H15" i="22"/>
  <c r="G14" i="22"/>
  <c r="F13" i="22"/>
  <c r="E12" i="22"/>
  <c r="D10" i="22"/>
  <c r="N8" i="22"/>
  <c r="M7" i="22"/>
  <c r="L6" i="22"/>
  <c r="K5" i="22"/>
  <c r="J4" i="22"/>
  <c r="I3" i="22"/>
  <c r="H2" i="22"/>
  <c r="L2" i="21" a="1"/>
  <c r="L2" i="21" s="1"/>
  <c r="M17" i="21" a="1"/>
  <c r="M17" i="21" s="1"/>
  <c r="D16" i="21" a="1"/>
  <c r="D16" i="21" s="1"/>
  <c r="F15" i="21" a="1"/>
  <c r="F15" i="21" s="1"/>
  <c r="H14" i="21" a="1"/>
  <c r="H14" i="21" s="1"/>
  <c r="I13" i="21" a="1"/>
  <c r="I13" i="21" s="1"/>
  <c r="K12" i="21" a="1"/>
  <c r="K12" i="21" s="1"/>
  <c r="M11" i="21" a="1"/>
  <c r="M11" i="21" s="1"/>
  <c r="D10" i="21" a="1"/>
  <c r="D10" i="21" s="1"/>
  <c r="F9" i="21" a="1"/>
  <c r="F9" i="21" s="1"/>
  <c r="H8" i="21" a="1"/>
  <c r="H8" i="21" s="1"/>
  <c r="I7" i="21" a="1"/>
  <c r="I7" i="21" s="1"/>
  <c r="K6" i="21" a="1"/>
  <c r="K6" i="21" s="1"/>
  <c r="E5" i="21" a="1"/>
  <c r="E5" i="21" s="1"/>
  <c r="I4" i="21" a="1"/>
  <c r="I4" i="21" s="1"/>
  <c r="E3" i="21" a="1"/>
  <c r="E3" i="21" s="1"/>
  <c r="C10" i="22"/>
  <c r="J19" i="22"/>
  <c r="J20" i="22" s="1"/>
  <c r="I17" i="22"/>
  <c r="H16" i="22"/>
  <c r="G15" i="22"/>
  <c r="F14" i="22"/>
  <c r="E13" i="22"/>
  <c r="D12" i="22"/>
  <c r="N9" i="22"/>
  <c r="M8" i="22"/>
  <c r="L7" i="22"/>
  <c r="K6" i="22"/>
  <c r="J5" i="22"/>
  <c r="I4" i="22"/>
  <c r="H3" i="22"/>
  <c r="G2" i="22"/>
  <c r="K17" i="21" a="1"/>
  <c r="K17" i="21" s="1"/>
  <c r="M16" i="21" a="1"/>
  <c r="M16" i="21" s="1"/>
  <c r="D15" i="21" a="1"/>
  <c r="D15" i="21" s="1"/>
  <c r="F14" i="21" a="1"/>
  <c r="F14" i="21" s="1"/>
  <c r="H13" i="21" a="1"/>
  <c r="H13" i="21" s="1"/>
  <c r="I12" i="21" a="1"/>
  <c r="I12" i="21" s="1"/>
  <c r="K11" i="21" a="1"/>
  <c r="K11" i="21" s="1"/>
  <c r="M10" i="21" a="1"/>
  <c r="M10" i="21" s="1"/>
  <c r="D9" i="21" a="1"/>
  <c r="D9" i="21" s="1"/>
  <c r="F8" i="21" a="1"/>
  <c r="F8" i="21" s="1"/>
  <c r="H7" i="21" a="1"/>
  <c r="H7" i="21" s="1"/>
  <c r="I6" i="21" a="1"/>
  <c r="I6" i="21" s="1"/>
  <c r="L5" i="21" a="1"/>
  <c r="L5" i="21" s="1"/>
  <c r="D5" i="21" a="1"/>
  <c r="D5" i="21" s="1"/>
  <c r="H4" i="21" a="1"/>
  <c r="H4" i="21" s="1"/>
  <c r="L3" i="21" a="1"/>
  <c r="L3" i="21" s="1"/>
  <c r="D3" i="21" a="1"/>
  <c r="D3" i="21" s="1"/>
  <c r="C8" i="22"/>
  <c r="H19" i="22"/>
  <c r="H20" i="22" s="1"/>
  <c r="G17" i="22"/>
  <c r="F16" i="22"/>
  <c r="E15" i="22"/>
  <c r="D14" i="22"/>
  <c r="N12" i="22"/>
  <c r="M10" i="22"/>
  <c r="L9" i="22"/>
  <c r="K8" i="22"/>
  <c r="J7" i="22"/>
  <c r="I6" i="22"/>
  <c r="H5" i="22"/>
  <c r="G4" i="22"/>
  <c r="F3" i="22"/>
  <c r="E2" i="22"/>
  <c r="K7" i="22"/>
  <c r="J2" i="21" a="1"/>
  <c r="J2" i="21" s="1"/>
  <c r="J17" i="21" a="1"/>
  <c r="J17" i="21" s="1"/>
  <c r="L16" i="21" a="1"/>
  <c r="L16" i="21" s="1"/>
  <c r="N15" i="21" a="1"/>
  <c r="N15" i="21" s="1"/>
  <c r="C15" i="21" a="1"/>
  <c r="C15" i="21" s="1"/>
  <c r="E14" i="21" a="1"/>
  <c r="E14" i="21" s="1"/>
  <c r="J11" i="21" a="1"/>
  <c r="J11" i="21" s="1"/>
  <c r="L10" i="21" a="1"/>
  <c r="L10" i="21" s="1"/>
  <c r="N9" i="21" a="1"/>
  <c r="N9" i="21" s="1"/>
  <c r="C9" i="21" a="1"/>
  <c r="C9" i="21" s="1"/>
  <c r="E8" i="21" a="1"/>
  <c r="E8" i="21" s="1"/>
  <c r="G7" i="21" a="1"/>
  <c r="G7" i="21" s="1"/>
  <c r="K5" i="21" a="1"/>
  <c r="K5" i="21" s="1"/>
  <c r="C5" i="21" a="1"/>
  <c r="C5" i="21" s="1"/>
  <c r="K3" i="21" a="1"/>
  <c r="K3" i="21" s="1"/>
  <c r="C3" i="21" a="1"/>
  <c r="C3" i="21" s="1"/>
  <c r="C7" i="22"/>
  <c r="K9" i="19"/>
  <c r="K8" i="19"/>
  <c r="K7" i="19"/>
  <c r="K6" i="19"/>
  <c r="K5" i="19"/>
  <c r="K4" i="19"/>
  <c r="K3" i="19"/>
  <c r="K2" i="19"/>
  <c r="B16" i="19"/>
  <c r="H7" i="19"/>
  <c r="H6" i="19"/>
  <c r="H5" i="19"/>
  <c r="H4" i="19"/>
  <c r="H3" i="19"/>
  <c r="H2" i="19"/>
  <c r="B15" i="19"/>
  <c r="B14" i="19"/>
  <c r="K10" i="19"/>
  <c r="D8" i="19"/>
  <c r="E8" i="19" s="1"/>
  <c r="D7" i="19"/>
  <c r="E7" i="19" s="1"/>
  <c r="D6" i="19"/>
  <c r="E6" i="19" s="1"/>
  <c r="D5" i="19"/>
  <c r="E5" i="19" s="1"/>
  <c r="D4" i="19"/>
  <c r="E4" i="19" s="1"/>
  <c r="D3" i="19"/>
  <c r="E3" i="19" s="1"/>
  <c r="D2" i="19"/>
  <c r="K9" i="18"/>
  <c r="K8" i="18"/>
  <c r="K7" i="18"/>
  <c r="K6" i="18"/>
  <c r="K5" i="18"/>
  <c r="K4" i="18"/>
  <c r="K3" i="18"/>
  <c r="K2" i="18"/>
  <c r="K10" i="18"/>
  <c r="D8" i="18"/>
  <c r="E8" i="18" s="1"/>
  <c r="D7" i="18"/>
  <c r="E7" i="18" s="1"/>
  <c r="D6" i="18"/>
  <c r="E6" i="18" s="1"/>
  <c r="D4" i="18"/>
  <c r="E4" i="18" s="1"/>
  <c r="D2" i="18"/>
  <c r="B16" i="18"/>
  <c r="H7" i="18"/>
  <c r="H6" i="18"/>
  <c r="H5" i="18"/>
  <c r="H4" i="18"/>
  <c r="H3" i="18"/>
  <c r="H2" i="18"/>
  <c r="B15" i="18"/>
  <c r="B14" i="18"/>
  <c r="D5" i="18"/>
  <c r="E5" i="18" s="1"/>
  <c r="D3" i="18"/>
  <c r="E3" i="18" s="1"/>
  <c r="K9" i="17"/>
  <c r="K8" i="17"/>
  <c r="K7" i="17"/>
  <c r="K6" i="17"/>
  <c r="K5" i="17"/>
  <c r="K4" i="17"/>
  <c r="K3" i="17"/>
  <c r="K2" i="17"/>
  <c r="B14" i="17"/>
  <c r="K10" i="17"/>
  <c r="D8" i="17"/>
  <c r="E8" i="17" s="1"/>
  <c r="D7" i="17"/>
  <c r="E7" i="17" s="1"/>
  <c r="D6" i="17"/>
  <c r="E6" i="17" s="1"/>
  <c r="D5" i="17"/>
  <c r="E5" i="17" s="1"/>
  <c r="D4" i="17"/>
  <c r="E4" i="17" s="1"/>
  <c r="D3" i="17"/>
  <c r="E3" i="17" s="1"/>
  <c r="D2" i="17"/>
  <c r="B16" i="17"/>
  <c r="H7" i="17"/>
  <c r="H6" i="17"/>
  <c r="H5" i="17"/>
  <c r="H4" i="17"/>
  <c r="H3" i="17"/>
  <c r="H2" i="17"/>
  <c r="B15" i="17"/>
  <c r="K8" i="16"/>
  <c r="K6" i="16"/>
  <c r="K4" i="16"/>
  <c r="B16" i="16"/>
  <c r="H7" i="16"/>
  <c r="H6" i="16"/>
  <c r="H5" i="16"/>
  <c r="H4" i="16"/>
  <c r="H3" i="16"/>
  <c r="H2" i="16"/>
  <c r="B15" i="16"/>
  <c r="B14" i="16"/>
  <c r="K10" i="16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D2" i="16"/>
  <c r="K9" i="16"/>
  <c r="K7" i="16"/>
  <c r="K5" i="16"/>
  <c r="K3" i="16"/>
  <c r="K2" i="16"/>
  <c r="K9" i="15"/>
  <c r="K8" i="15"/>
  <c r="K7" i="15"/>
  <c r="K6" i="15"/>
  <c r="K5" i="15"/>
  <c r="K4" i="15"/>
  <c r="K3" i="15"/>
  <c r="K2" i="15"/>
  <c r="B16" i="15"/>
  <c r="H7" i="15"/>
  <c r="H6" i="15"/>
  <c r="H5" i="15"/>
  <c r="H4" i="15"/>
  <c r="H3" i="15"/>
  <c r="H2" i="15"/>
  <c r="B14" i="15"/>
  <c r="D6" i="15"/>
  <c r="E6" i="15" s="1"/>
  <c r="D4" i="15"/>
  <c r="E4" i="15" s="1"/>
  <c r="D2" i="15"/>
  <c r="B15" i="15"/>
  <c r="K10" i="15"/>
  <c r="D8" i="15"/>
  <c r="E8" i="15" s="1"/>
  <c r="D7" i="15"/>
  <c r="E7" i="15" s="1"/>
  <c r="D5" i="15"/>
  <c r="E5" i="15" s="1"/>
  <c r="D3" i="15"/>
  <c r="E3" i="15" s="1"/>
  <c r="K9" i="14"/>
  <c r="K8" i="14"/>
  <c r="K7" i="14"/>
  <c r="K6" i="14"/>
  <c r="K5" i="14"/>
  <c r="K4" i="14"/>
  <c r="K3" i="14"/>
  <c r="K2" i="14"/>
  <c r="H7" i="14"/>
  <c r="H6" i="14"/>
  <c r="H5" i="14"/>
  <c r="H4" i="14"/>
  <c r="H3" i="14"/>
  <c r="H2" i="14"/>
  <c r="B16" i="14"/>
  <c r="B15" i="14"/>
  <c r="B14" i="14"/>
  <c r="K10" i="14"/>
  <c r="D8" i="14"/>
  <c r="E8" i="14" s="1"/>
  <c r="D7" i="14"/>
  <c r="E7" i="14" s="1"/>
  <c r="D6" i="14"/>
  <c r="E6" i="14" s="1"/>
  <c r="D5" i="14"/>
  <c r="E5" i="14" s="1"/>
  <c r="D4" i="14"/>
  <c r="E4" i="14" s="1"/>
  <c r="D3" i="14"/>
  <c r="E3" i="14" s="1"/>
  <c r="D2" i="14"/>
  <c r="K9" i="13"/>
  <c r="K8" i="13"/>
  <c r="K7" i="13"/>
  <c r="K6" i="13"/>
  <c r="K5" i="13"/>
  <c r="K4" i="13"/>
  <c r="K3" i="13"/>
  <c r="K2" i="13"/>
  <c r="B16" i="13"/>
  <c r="H7" i="13"/>
  <c r="H6" i="13"/>
  <c r="H5" i="13"/>
  <c r="H4" i="13"/>
  <c r="H3" i="13"/>
  <c r="H2" i="13"/>
  <c r="B15" i="13"/>
  <c r="B14" i="13"/>
  <c r="K10" i="13"/>
  <c r="D8" i="13"/>
  <c r="E8" i="13" s="1"/>
  <c r="D7" i="13"/>
  <c r="E7" i="13" s="1"/>
  <c r="D6" i="13"/>
  <c r="E6" i="13" s="1"/>
  <c r="D5" i="13"/>
  <c r="E5" i="13" s="1"/>
  <c r="D4" i="13"/>
  <c r="E4" i="13" s="1"/>
  <c r="D3" i="13"/>
  <c r="E3" i="13" s="1"/>
  <c r="D2" i="13"/>
  <c r="K9" i="12"/>
  <c r="K8" i="12"/>
  <c r="K7" i="12"/>
  <c r="K6" i="12"/>
  <c r="K5" i="12"/>
  <c r="K4" i="12"/>
  <c r="K3" i="12"/>
  <c r="K2" i="12"/>
  <c r="B16" i="12"/>
  <c r="H7" i="12"/>
  <c r="H6" i="12"/>
  <c r="H5" i="12"/>
  <c r="H4" i="12"/>
  <c r="H3" i="12"/>
  <c r="H2" i="12"/>
  <c r="B15" i="12"/>
  <c r="B14" i="12"/>
  <c r="K10" i="12"/>
  <c r="D8" i="12"/>
  <c r="E8" i="12" s="1"/>
  <c r="D7" i="12"/>
  <c r="E7" i="12" s="1"/>
  <c r="D6" i="12"/>
  <c r="E6" i="12" s="1"/>
  <c r="D5" i="12"/>
  <c r="E5" i="12" s="1"/>
  <c r="D4" i="12"/>
  <c r="E4" i="12" s="1"/>
  <c r="D3" i="12"/>
  <c r="E3" i="12" s="1"/>
  <c r="D2" i="12"/>
  <c r="K9" i="11"/>
  <c r="K8" i="11"/>
  <c r="K7" i="11"/>
  <c r="K6" i="11"/>
  <c r="K5" i="11"/>
  <c r="K4" i="11"/>
  <c r="K3" i="11"/>
  <c r="K2" i="11"/>
  <c r="B16" i="11"/>
  <c r="H7" i="11"/>
  <c r="H6" i="11"/>
  <c r="H5" i="11"/>
  <c r="H4" i="11"/>
  <c r="H3" i="11"/>
  <c r="H2" i="11"/>
  <c r="B15" i="11"/>
  <c r="B14" i="11"/>
  <c r="K10" i="11"/>
  <c r="D8" i="11"/>
  <c r="E8" i="11" s="1"/>
  <c r="D7" i="11"/>
  <c r="E7" i="11" s="1"/>
  <c r="D6" i="11"/>
  <c r="E6" i="11" s="1"/>
  <c r="D5" i="11"/>
  <c r="E5" i="11" s="1"/>
  <c r="D4" i="11"/>
  <c r="E4" i="11" s="1"/>
  <c r="D3" i="11"/>
  <c r="E3" i="11" s="1"/>
  <c r="D2" i="11"/>
  <c r="K9" i="8"/>
  <c r="K8" i="8"/>
  <c r="K7" i="8"/>
  <c r="K6" i="8"/>
  <c r="K5" i="8"/>
  <c r="K4" i="8"/>
  <c r="K3" i="8"/>
  <c r="K2" i="8"/>
  <c r="B16" i="8"/>
  <c r="H7" i="8"/>
  <c r="H6" i="8"/>
  <c r="H5" i="8"/>
  <c r="H4" i="8"/>
  <c r="H3" i="8"/>
  <c r="H2" i="8"/>
  <c r="B15" i="8"/>
  <c r="B14" i="8"/>
  <c r="K10" i="8"/>
  <c r="D8" i="8"/>
  <c r="E8" i="8" s="1"/>
  <c r="D7" i="8"/>
  <c r="E7" i="8" s="1"/>
  <c r="D6" i="8"/>
  <c r="E6" i="8" s="1"/>
  <c r="D5" i="8"/>
  <c r="E5" i="8" s="1"/>
  <c r="D4" i="8"/>
  <c r="E4" i="8" s="1"/>
  <c r="D3" i="8"/>
  <c r="E3" i="8" s="1"/>
  <c r="D2" i="8"/>
  <c r="K9" i="7"/>
  <c r="K8" i="7"/>
  <c r="K7" i="7"/>
  <c r="K6" i="7"/>
  <c r="K5" i="7"/>
  <c r="K4" i="7"/>
  <c r="K3" i="7"/>
  <c r="K2" i="7"/>
  <c r="B16" i="7"/>
  <c r="H7" i="7"/>
  <c r="H6" i="7"/>
  <c r="H5" i="7"/>
  <c r="H4" i="7"/>
  <c r="H3" i="7"/>
  <c r="H2" i="7"/>
  <c r="B14" i="7"/>
  <c r="B15" i="7"/>
  <c r="K10" i="7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D2" i="7"/>
  <c r="B15" i="6"/>
  <c r="B16" i="6"/>
  <c r="B14" i="6"/>
  <c r="K7" i="6"/>
  <c r="K3" i="6"/>
  <c r="K9" i="6"/>
  <c r="K5" i="6"/>
  <c r="K8" i="6"/>
  <c r="K4" i="6"/>
  <c r="K10" i="6"/>
  <c r="K6" i="6"/>
  <c r="K2" i="6"/>
  <c r="H5" i="6"/>
  <c r="H7" i="6"/>
  <c r="H3" i="6"/>
  <c r="H4" i="6"/>
  <c r="H6" i="6"/>
  <c r="H2" i="6"/>
  <c r="D7" i="6"/>
  <c r="E7" i="6" s="1"/>
  <c r="D3" i="6"/>
  <c r="E3" i="6" s="1"/>
  <c r="D6" i="6"/>
  <c r="E6" i="6" s="1"/>
  <c r="D2" i="6"/>
  <c r="E2" i="6" s="1"/>
  <c r="D5" i="6"/>
  <c r="E5" i="6" s="1"/>
  <c r="D8" i="6"/>
  <c r="E8" i="6" s="1"/>
  <c r="C2" i="7" a="1"/>
  <c r="N18" i="22" l="1"/>
  <c r="J18" i="21"/>
  <c r="O14" i="22"/>
  <c r="I18" i="22"/>
  <c r="M11" i="22"/>
  <c r="L18" i="21"/>
  <c r="O8" i="21"/>
  <c r="G18" i="22"/>
  <c r="O5" i="22"/>
  <c r="F11" i="22"/>
  <c r="O14" i="21"/>
  <c r="O7" i="22"/>
  <c r="O15" i="21"/>
  <c r="K11" i="22"/>
  <c r="O13" i="22"/>
  <c r="I11" i="22"/>
  <c r="O17" i="22"/>
  <c r="C18" i="22"/>
  <c r="C21" i="22" s="1"/>
  <c r="J18" i="22"/>
  <c r="O3" i="21"/>
  <c r="D18" i="21"/>
  <c r="F18" i="22"/>
  <c r="F21" i="22" s="1"/>
  <c r="O9" i="21"/>
  <c r="J11" i="22"/>
  <c r="O16" i="21"/>
  <c r="H18" i="22"/>
  <c r="K18" i="22"/>
  <c r="N11" i="22"/>
  <c r="C11" i="22"/>
  <c r="O8" i="22"/>
  <c r="O4" i="21"/>
  <c r="O7" i="21"/>
  <c r="H11" i="22"/>
  <c r="M18" i="22"/>
  <c r="O10" i="21"/>
  <c r="K18" i="21"/>
  <c r="O12" i="22"/>
  <c r="O5" i="21"/>
  <c r="O17" i="21"/>
  <c r="G11" i="22"/>
  <c r="F18" i="21"/>
  <c r="O13" i="21"/>
  <c r="D11" i="22"/>
  <c r="N18" i="21"/>
  <c r="L11" i="22"/>
  <c r="O11" i="21"/>
  <c r="E11" i="22"/>
  <c r="M18" i="21"/>
  <c r="O10" i="22"/>
  <c r="O6" i="21"/>
  <c r="O2" i="21"/>
  <c r="O16" i="22"/>
  <c r="H18" i="21"/>
  <c r="O9" i="22"/>
  <c r="O4" i="22"/>
  <c r="E18" i="21"/>
  <c r="O2" i="22"/>
  <c r="D18" i="22"/>
  <c r="C18" i="21"/>
  <c r="O6" i="22"/>
  <c r="O3" i="22"/>
  <c r="G18" i="21"/>
  <c r="E18" i="22"/>
  <c r="O15" i="22"/>
  <c r="I18" i="21"/>
  <c r="O19" i="22"/>
  <c r="O20" i="22" s="1"/>
  <c r="O12" i="21"/>
  <c r="L18" i="22"/>
  <c r="I21" i="22"/>
  <c r="K11" i="19"/>
  <c r="H8" i="19"/>
  <c r="K11" i="18"/>
  <c r="D9" i="19"/>
  <c r="B17" i="19"/>
  <c r="B17" i="18"/>
  <c r="H8" i="17"/>
  <c r="K11" i="17"/>
  <c r="D9" i="18"/>
  <c r="H8" i="18"/>
  <c r="B17" i="16"/>
  <c r="D9" i="17"/>
  <c r="B17" i="17"/>
  <c r="D9" i="16"/>
  <c r="H8" i="16"/>
  <c r="K11" i="15"/>
  <c r="K11" i="16"/>
  <c r="H8" i="15"/>
  <c r="D9" i="15"/>
  <c r="K11" i="14"/>
  <c r="B17" i="15"/>
  <c r="D9" i="14"/>
  <c r="B17" i="14"/>
  <c r="H8" i="14"/>
  <c r="H8" i="13"/>
  <c r="K11" i="13"/>
  <c r="K11" i="12"/>
  <c r="D9" i="13"/>
  <c r="B17" i="13"/>
  <c r="H8" i="12"/>
  <c r="D9" i="12"/>
  <c r="B17" i="12"/>
  <c r="K11" i="11"/>
  <c r="H8" i="11"/>
  <c r="D9" i="11"/>
  <c r="B17" i="11"/>
  <c r="D9" i="8"/>
  <c r="B17" i="8"/>
  <c r="K11" i="8"/>
  <c r="H8" i="8"/>
  <c r="C2" i="7"/>
  <c r="C9" i="7" s="1"/>
  <c r="B17" i="7"/>
  <c r="K11" i="7"/>
  <c r="H8" i="7"/>
  <c r="D9" i="7"/>
  <c r="B17" i="6"/>
  <c r="K11" i="6"/>
  <c r="H8" i="6"/>
  <c r="E9" i="6"/>
  <c r="D9" i="6"/>
  <c r="M21" i="22" l="1"/>
  <c r="N21" i="22"/>
  <c r="G21" i="22"/>
  <c r="K21" i="22"/>
  <c r="O18" i="22"/>
  <c r="E21" i="22"/>
  <c r="O11" i="22"/>
  <c r="L21" i="22"/>
  <c r="H21" i="22"/>
  <c r="O18" i="21"/>
  <c r="J21" i="22"/>
  <c r="D21" i="22"/>
  <c r="E2" i="7"/>
  <c r="E9" i="7" s="1"/>
  <c r="C2" i="8" a="1"/>
  <c r="O21" i="22" l="1"/>
  <c r="C2" i="8"/>
  <c r="E2" i="8" s="1"/>
  <c r="C2" i="11" a="1"/>
  <c r="C2" i="11" l="1"/>
  <c r="E9" i="8"/>
  <c r="C9" i="8"/>
  <c r="E2" i="11" l="1"/>
  <c r="C9" i="11"/>
  <c r="C2" i="12" a="1"/>
  <c r="C2" i="12" l="1"/>
  <c r="E9" i="11"/>
  <c r="C9" i="12" l="1"/>
  <c r="E2" i="12"/>
  <c r="C2" i="13" a="1"/>
  <c r="C2" i="13" l="1"/>
  <c r="E9" i="12"/>
  <c r="E2" i="13" l="1"/>
  <c r="C9" i="13"/>
  <c r="C2" i="14" a="1"/>
  <c r="C2" i="14" l="1"/>
  <c r="E9" i="13"/>
  <c r="C9" i="14" l="1"/>
  <c r="E2" i="14"/>
  <c r="C2" i="15" a="1"/>
  <c r="C2" i="15" l="1"/>
  <c r="E9" i="14"/>
  <c r="C9" i="15" l="1"/>
  <c r="E2" i="15"/>
  <c r="C2" i="16" a="1"/>
  <c r="C2" i="16" l="1"/>
  <c r="E9" i="15"/>
  <c r="C9" i="16" l="1"/>
  <c r="E2" i="16"/>
  <c r="C2" i="17" a="1"/>
  <c r="C2" i="17" l="1"/>
  <c r="E9" i="16"/>
  <c r="C9" i="17" l="1"/>
  <c r="E2" i="17"/>
  <c r="C2" i="18" a="1"/>
  <c r="C2" i="18" l="1"/>
  <c r="E9" i="17"/>
  <c r="C9" i="18" l="1"/>
  <c r="E2" i="18"/>
  <c r="C2" i="19" a="1"/>
  <c r="C2" i="19" l="1"/>
  <c r="E9" i="18"/>
  <c r="E2" i="19" l="1"/>
  <c r="E9" i="19" s="1"/>
  <c r="C9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<sst xmlns="http://schemas.openxmlformats.org/spreadsheetml/2006/main" count="1403" uniqueCount="55">
  <si>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</si>
  <si>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</si>
  <si>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</si>
  <si>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</si>
  <si>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</si>
  <si>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</si>
  <si>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</si>
  <si>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</si>
  <si>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</si>
  <si>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</si>
  <si>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</si>
  <si>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</si>
  <si>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</si>
  <si>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</si>
  <si>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</si>
  <si>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</si>
  <si>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</si>
  <si>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</si>
  <si>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</si>
  <si>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</si>
  <si>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</si>
  <si>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</si>
  <si>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</si>
  <si>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</si>
  <si>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</si>
  <si>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</si>
  <si>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</si>
  <si>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</si>
  <si>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</si>
  <si>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</si>
  <si>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</si>
  <si>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</si>
  <si>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</si>
  <si>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</si>
  <si>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Opening balance</t>
  </si>
  <si>
    <t>Operations</t>
  </si>
  <si>
    <t>Closing balance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</si>
  <si>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</si>
  <si>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</si>
  <si>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</si>
  <si>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</si>
  <si>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</si>
  <si>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</si>
  <si>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</si>
  <si>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</si>
  <si>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</si>
  <si>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</si>
  <si>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</si>
  <si>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</si>
  <si>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</si>
  <si>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Suma</t>
  </si>
  <si>
    <t>Income Suma</t>
  </si>
  <si>
    <t>Transfer Suma</t>
  </si>
  <si>
    <t>Suma końcowa</t>
  </si>
  <si>
    <t>Suma z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</si>
</sst>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_-* #,##0.00\ [$zł-415]_-;\-* #,##0.00\ [$zł-415]_-;_-* &quot;-&quot;??\ [$zł-415]_-;_-@_-"/>
    <numFmt numFmtId="165" formatCode="m/d/yyyy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4" fontId="0" fillId="0" borderId="0" xfId="0" applyNumberFormat="1"/>
    <xf numFmtId="44" fontId="0" fillId="0" borderId="0" xfId="0" applyNumberFormat="1"/>
    <xf numFmtId="44" fontId="2" fillId="0" borderId="0" xfId="0" applyNumberFormat="1" applyFont="1"/>
    <xf numFmtId="0" fontId="2" fillId="0" borderId="0" xfId="0" applyFont="1"/>
    <xf numFmtId="0" fontId="0" fillId="0" borderId="0" xfId="0" pivotButton="1"/>
    <xf numFmtId="165" fontId="1" fillId="0" borderId="0" xfId="0" applyNumberFormat="1" applyFont="1"/>
  </cellXfs>
  <cellStyles count="1">
    <cellStyle name="Normalny" xfId="0" builtinId="0"/>
  </cellStyles>
  <dxfs count="247"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a Gądor" refreshedDate="45999.670414236112" createdVersion="8" refreshedVersion="8" minRefreshableVersion="3" recordCount="207" xr:uid="{913B3905-F606-494D-9A00-0895CE5ADD14}">
  <cacheSource type="worksheet">
    <worksheetSource name="operations"/>
  </cacheSource>
  <cacheFields count="7">
    <cacheField name="Amount" numFmtId="8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0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46D6F-A760-4447-A16B-EC53019AE6D3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O24" firstHeaderRow="1" firstDataRow="2" firstDataCol="2"/>
  <pivotFields count="7"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20">
    <i>
      <x/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 t="default">
      <x/>
    </i>
    <i>
      <x v="1"/>
      <x v="1"/>
    </i>
    <i r="1">
      <x v="4"/>
    </i>
    <i r="1">
      <x v="5"/>
    </i>
    <i r="1">
      <x v="10"/>
    </i>
    <i r="1">
      <x v="11"/>
    </i>
    <i r="1">
      <x v="12"/>
    </i>
    <i t="default">
      <x v="1"/>
    </i>
    <i>
      <x v="2"/>
      <x v="14"/>
    </i>
    <i t="default">
      <x v="2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Amount" fld="0" baseField="0" baseItem="0" numFmtId="44"/>
  </dataFields>
  <formats count="1">
    <format dxfId="206">
      <pivotArea outline="0" collapsedLevelsAreSubtotals="1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BA186B0-51CB-40C8-BAD9-28511281EF28}" name="summary1" displayName="summary1" ref="A1:O18" totalsRowCount="1">
  <autoFilter ref="A1:O17" xr:uid="{1BA186B0-51CB-40C8-BAD9-28511281EF28}"/>
  <tableColumns count="15">
    <tableColumn id="1" xr3:uid="{A2C851E5-A385-46CB-AEFC-03CB2F245055}" name="Category" totalsRowFunction="sum"/>
    <tableColumn id="2" xr3:uid="{9F546D03-2233-4BFF-B8F9-B82BC4A241D4}" name="Type" totalsRowFunction="sum"/>
    <tableColumn id="3" xr3:uid="{39C2F40E-EFD8-4591-8457-FB00EF95444C}" name="1" totalsRowFunction="sum" dataDxfId="246" totalsRowDxfId="245">
      <calculatedColumnFormula array="1">SUMIFS(operations[[Amount]:[Amount]],operations[[Category]:[Category]],summary1[[#This Row],[Category]:[Category]],operations[[Month]:[Month]],summary1[[#Headers],[1]])</calculatedColumnFormula>
    </tableColumn>
    <tableColumn id="4" xr3:uid="{D088D0C7-F60C-46CF-9924-BD72AFA76ED5}" name="2" totalsRowFunction="sum" dataDxfId="244" totalsRowDxfId="243">
      <calculatedColumnFormula array="1">SUMIFS(operations[[Amount]:[Amount]],operations[[Category]:[Category]],summary1[[#This Row],[Category]:[Category]],operations[[Month]:[Month]],summary1[[#Headers],[2]])</calculatedColumnFormula>
    </tableColumn>
    <tableColumn id="5" xr3:uid="{23CC6382-DACB-4265-995E-B1D40701B2E4}" name="3" totalsRowFunction="sum" dataDxfId="242" totalsRowDxfId="241">
      <calculatedColumnFormula array="1">SUMIFS(operations[[Amount]:[Amount]],operations[[Category]:[Category]],summary1[[#This Row],[Category]:[Category]],operations[[Month]:[Month]],summary1[[#Headers],[3]])</calculatedColumnFormula>
    </tableColumn>
    <tableColumn id="6" xr3:uid="{BE0A4B2E-4983-4088-8748-4F8576A5A213}" name="4" totalsRowFunction="sum" dataDxfId="240" totalsRowDxfId="239">
      <calculatedColumnFormula array="1">SUMIFS(operations[[Amount]:[Amount]],operations[[Category]:[Category]],summary1[[#This Row],[Category]:[Category]],operations[[Month]:[Month]],summary1[[#Headers],[4]])</calculatedColumnFormula>
    </tableColumn>
    <tableColumn id="7" xr3:uid="{5A52D2C0-C58B-4D0E-AFAD-A107E0129237}" name="5" totalsRowFunction="sum" dataDxfId="238" totalsRowDxfId="237">
      <calculatedColumnFormula array="1">SUMIFS(operations[[Amount]:[Amount]],operations[[Category]:[Category]],summary1[[#This Row],[Category]:[Category]],operations[[Month]:[Month]],summary1[[#Headers],[5]])</calculatedColumnFormula>
    </tableColumn>
    <tableColumn id="8" xr3:uid="{0ED5529B-ECD4-4132-99A7-7A94B55594AA}" name="6" totalsRowFunction="sum" dataDxfId="236" totalsRowDxfId="235">
      <calculatedColumnFormula array="1">SUMIFS(operations[[Amount]:[Amount]],operations[[Category]:[Category]],summary1[[#This Row],[Category]:[Category]],operations[[Month]:[Month]],summary1[[#Headers],[6]])</calculatedColumnFormula>
    </tableColumn>
    <tableColumn id="9" xr3:uid="{83D2B435-592A-4186-A1E4-5B8179FE2CD9}" name="7" totalsRowFunction="sum" dataDxfId="234" totalsRowDxfId="233">
      <calculatedColumnFormula array="1">SUMIFS(operations[[Amount]:[Amount]],operations[[Category]:[Category]],summary1[[#This Row],[Category]:[Category]],operations[[Month]:[Month]],summary1[[#Headers],[7]])</calculatedColumnFormula>
    </tableColumn>
    <tableColumn id="10" xr3:uid="{3420C6A5-43A5-4ED5-87A0-4D83669CD4F2}" name="8" totalsRowFunction="sum" dataDxfId="232" totalsRowDxfId="231">
      <calculatedColumnFormula array="1">SUMIFS(operations[[Amount]:[Amount]],operations[[Category]:[Category]],summary1[[#This Row],[Category]:[Category]],operations[[Month]:[Month]],summary1[[#Headers],[8]])</calculatedColumnFormula>
    </tableColumn>
    <tableColumn id="11" xr3:uid="{B3B13762-DE8B-4BAE-A7F9-15D604156FE3}" name="9" totalsRowFunction="sum" dataDxfId="230" totalsRowDxfId="229">
      <calculatedColumnFormula array="1">SUMIFS(operations[[Amount]:[Amount]],operations[[Category]:[Category]],summary1[[#This Row],[Category]:[Category]],operations[[Month]:[Month]],summary1[[#Headers],[9]])</calculatedColumnFormula>
    </tableColumn>
    <tableColumn id="12" xr3:uid="{4F049199-6FF8-4C56-B200-89C924840445}" name="10" totalsRowFunction="sum" dataDxfId="228" totalsRowDxfId="227">
      <calculatedColumnFormula array="1">SUMIFS(operations[[Amount]:[Amount]],operations[[Category]:[Category]],summary1[[#This Row],[Category]:[Category]],operations[[Month]:[Month]],summary1[[#Headers],[10]])</calculatedColumnFormula>
    </tableColumn>
    <tableColumn id="13" xr3:uid="{3E6FD826-F104-48A6-9678-14D97FF9927D}" name="11" totalsRowFunction="sum" dataDxfId="226" totalsRowDxfId="225">
      <calculatedColumnFormula array="1">SUMIFS(operations[[Amount]:[Amount]],operations[[Category]:[Category]],summary1[[#This Row],[Category]:[Category]],operations[[Month]:[Month]],summary1[[#Headers],[11]])</calculatedColumnFormula>
    </tableColumn>
    <tableColumn id="14" xr3:uid="{22D420A1-7192-4F7D-AD97-2AA654D0474F}" name="12" totalsRowFunction="sum" dataDxfId="224" totalsRowDxfId="223">
      <calculatedColumnFormula array="1">SUMIFS(operations[[Amount]:[Amount]],operations[[Category]:[Category]],summary1[[#This Row],[Category]:[Category]],operations[[Month]:[Month]],summary1[[#Headers],[12]])</calculatedColumnFormula>
    </tableColumn>
    <tableColumn id="15" xr3:uid="{8CD90937-CDCB-454E-BEE9-BBA84D05D915}" name="Total" totalsRowFunction="sum" dataDxfId="222" totalsRowDxfId="221">
      <calculatedColumnFormula>SUM(summary1[[#This Row],[1]:[12]])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A00FE5-C570-4F56-A8D2-008C85840C02}" name="summary2" displayName="summary2" ref="A1:O21" totalsRowShown="0">
  <autoFilter ref="A1:O21" xr:uid="{2AA00FE5-C570-4F56-A8D2-008C85840C02}"/>
  <tableColumns count="15">
    <tableColumn id="1" xr3:uid="{56DCB330-AF8F-477E-AAB1-53CCAABC1972}" name="Category"/>
    <tableColumn id="2" xr3:uid="{D39CB9E0-C608-4216-923A-191A597D63E0}" name="Type" dataDxfId="220"/>
    <tableColumn id="3" xr3:uid="{657DD7D8-6EB9-447B-981C-915042E4C5A3}" name="1" dataDxfId="219"/>
    <tableColumn id="4" xr3:uid="{5CB643A7-89D1-44EC-873B-7F2B59FC6D6A}" name="2" dataDxfId="218"/>
    <tableColumn id="5" xr3:uid="{A331AD26-CBB8-4754-9A65-5A0779F8C2B8}" name="3" dataDxfId="217"/>
    <tableColumn id="6" xr3:uid="{BFFD318C-0CEC-41D6-928F-7BB6A53BB0B9}" name="4" dataDxfId="216"/>
    <tableColumn id="7" xr3:uid="{68228936-9F99-4618-B3D8-3B50E10563A5}" name="5" dataDxfId="215"/>
    <tableColumn id="8" xr3:uid="{42B1C063-D4E0-41B2-BCB5-C1AA39CFB615}" name="6" dataDxfId="214"/>
    <tableColumn id="9" xr3:uid="{FE2D6693-73C9-4C69-AD25-42B0FEE7AA07}" name="7" dataDxfId="213"/>
    <tableColumn id="10" xr3:uid="{32BA2BBA-E159-401D-8FAA-9873A4D93B91}" name="8" dataDxfId="212"/>
    <tableColumn id="11" xr3:uid="{8ED51B53-2053-4BF1-9714-3A909F974D07}" name="9" dataDxfId="211"/>
    <tableColumn id="12" xr3:uid="{5ACF48CC-8FF0-4570-8B32-E1E2CC23AE2E}" name="10" dataDxfId="210"/>
    <tableColumn id="13" xr3:uid="{5511B1FA-F789-4FDE-A47B-4743024984CB}" name="11" dataDxfId="209"/>
    <tableColumn id="14" xr3:uid="{77DC05AE-1059-408F-B8F2-1A191851A66F}" name="12" dataDxfId="208"/>
    <tableColumn id="15" xr3:uid="{930FC17B-85ED-420A-9991-ABD22A1591A5}" name="Total" dataDxfId="207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8" totalsRowShown="0" headerRowDxfId="205" dataDxfId="204">
  <autoFilter ref="A1:G208" xr:uid="{77EA216C-FFD9-4A05-BF08-B832A43E3520}"/>
  <tableColumns count="7">
    <tableColumn id="1" xr3:uid="{68ACE8F2-D3B7-4A07-A81C-AF60D2DE6312}" name="Amount" dataDxfId="203"/>
    <tableColumn id="2" xr3:uid="{7254576B-CAD8-4BF8-91A7-FCE7DBDF3336}" name="Bank" dataDxfId="202"/>
    <tableColumn id="3" xr3:uid="{B4A67B35-2B8C-48AF-AB70-F7C5686F9E6F}" name="Product" dataDxfId="201"/>
    <tableColumn id="4" xr3:uid="{0AA0F34C-1B3B-40BD-A2ED-C43E9ACECCE2}" name="Category" dataDxfId="200"/>
    <tableColumn id="5" xr3:uid="{B0DC3548-A9AA-420A-8564-5F10AFE241CF}" name="Type" dataDxfId="199">
      <calculatedColumnFormula>_xlfn.XLOOKUP(operations[[#This Row],[Category]],categories[Category],categories[Type],"",0,1)</calculatedColumnFormula>
    </tableColumn>
    <tableColumn id="6" xr3:uid="{2C72B247-1CFD-44D6-BDA9-F9D0BB401FA1}" name="Date" dataDxfId="198"/>
    <tableColumn id="7" xr3:uid="{4E65CCC6-D609-484D-A68A-DC8E888AFEE9}" name="Month" dataDxfId="197">
      <calculatedColumnFormula>MONTH(operations[[#This Row],[Date]])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96"/>
    <tableColumn id="2" xr3:uid="{0EA9F851-FCD1-470B-9F83-640CF24D733D}" name="Type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products" displayName="products" ref="F1:G8" totalsRowShown="0" headerRowDxfId="195" dataDxfId="194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193"/>
    <tableColumn id="2" xr3:uid="{5DC547AF-683F-2849-9609-D29B1CCE96DA}" name="Product" dataDxfId="192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923BB-D770-4302-BE82-67FDC9D6A765}" name="flow_1" displayName="flow_1" ref="A1:E9" totalsRowCount="1">
  <autoFilter ref="A1:E8" xr:uid="{AF8923BB-D770-4302-BE82-67FDC9D6A765}"/>
  <tableColumns count="5">
    <tableColumn id="1" xr3:uid="{C9E2CC4E-57FF-4630-9582-1E087E5C4466}" name="Bank" totalsRowLabel="Total" dataDxfId="191" totalsRowDxfId="190"/>
    <tableColumn id="2" xr3:uid="{6E1D6D25-4A0D-436E-8908-DBC3677FD1D2}" name="Product" dataDxfId="189" totalsRowDxfId="188"/>
    <tableColumn id="3" xr3:uid="{258FA03B-01DE-46E8-9DEC-03C557F43DB9}" name="Opening balance" totalsRowFunction="sum" dataDxfId="187" totalsRowDxfId="186"/>
    <tableColumn id="4" xr3:uid="{C0B3033A-8F24-400D-BD06-12B6FEB21DBD}" name="Operations" totalsRowFunction="sum" dataDxfId="185" totalsRowDxfId="184">
      <calculatedColumnFormula>SUMIFS(operations[Amount],operations[Bank],flow_1[[#This Row],[Bank]],operations[Product],flow_1[[#This Row],[Product]],operations[Month],$B$11)</calculatedColumnFormula>
    </tableColumn>
    <tableColumn id="5" xr3:uid="{D4FE2BE5-BFFC-4644-B176-9E7E178D7245}" name="Closing balance" totalsRowFunction="sum" dataDxfId="183" totalsRowDxfId="182">
      <calculatedColumnFormula>flow_1[[#This Row],[Opening balance]]+flow_1[[#This Row],[Operations]]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2B59FF-2350-40C8-9B96-1709E1871F65}" name="incomes_1" displayName="incomes_1" ref="G1:H8" totalsRowCount="1">
  <autoFilter ref="G1:H7" xr:uid="{B52B59FF-2350-40C8-9B96-1709E1871F65}"/>
  <tableColumns count="2">
    <tableColumn id="1" xr3:uid="{909C6D44-A119-4778-BD42-209C6C2AD4EC}" name="Category" totalsRowLabel="Total"/>
    <tableColumn id="2" xr3:uid="{DA451E1F-9CCB-492E-85C5-9851EA76F3CF}" name="Total" totalsRowFunction="sum" dataDxfId="181" totalsRowDxfId="180">
      <calculatedColumnFormula>SUMIFS(operations[Amount],operations[Month],$B$11,operations[Category],incomes_1[[#This Row],[Category]])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FB335A-F4E0-4423-9F20-7590C620A67C}" name="expenses_1" displayName="expenses_1" ref="J1:K11" totalsRowCount="1">
  <autoFilter ref="J1:K10" xr:uid="{D6FB335A-F4E0-4423-9F20-7590C620A67C}"/>
  <tableColumns count="2">
    <tableColumn id="1" xr3:uid="{0227E8AE-86F8-4121-9C31-FCCF10576AFC}" name="Category" totalsRowLabel="Total"/>
    <tableColumn id="2" xr3:uid="{3272ABF1-D8D7-4181-AB72-A027E0D124B1}" name="Total" totalsRowFunction="sum" dataDxfId="179" totalsRowDxfId="178">
      <calculatedColumnFormula>SUMIFS(operations[Amount],operations[Month],$B$11,operations[Category],expenses_1[[#This Row],[Category]])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A692EA-E473-4C35-8FA8-3DDCF8A08520}" name="balance_1" displayName="balance_1" ref="A13:B17" totalsRowCount="1">
  <autoFilter ref="A13:B16" xr:uid="{89A692EA-E473-4C35-8FA8-3DDCF8A08520}"/>
  <tableColumns count="2">
    <tableColumn id="1" xr3:uid="{B5894B49-0447-49D5-A975-C56A1B0BDF04}" name="Type" totalsRowLabel="Total"/>
    <tableColumn id="2" xr3:uid="{C6A9B62A-B2BE-47CA-93D9-B9CB12AA9E53}" name="Total" totalsRowFunction="sum" dataDxfId="177" totalsRowDxfId="176">
      <calculatedColumnFormula>SUMIFS(operations[Amount],operations[Month],$B$11,operations[Type],balance_1[[#This Row],[Type]])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8D7E1B-EE91-49F8-A30B-0A56BA8D8E32}" name="flow_2" displayName="flow_2" ref="A1:E9" totalsRowCount="1">
  <autoFilter ref="A1:E8" xr:uid="{AF8923BB-D770-4302-BE82-67FDC9D6A765}"/>
  <tableColumns count="5">
    <tableColumn id="1" xr3:uid="{BE512E01-AA14-4789-A247-0CED24D6B6AB}" name="Bank" totalsRowLabel="Total" dataDxfId="175" totalsRowDxfId="174"/>
    <tableColumn id="2" xr3:uid="{A63187A5-ACB2-4B6E-AFD2-9E3CAF8A343E}" name="Product" dataDxfId="173" totalsRowDxfId="172"/>
    <tableColumn id="3" xr3:uid="{356AE2C5-2E26-40DC-A761-0EC7E54E7AAA}" name="Opening balance" totalsRowFunction="sum" dataDxfId="171" totalsRowDxfId="170"/>
    <tableColumn id="4" xr3:uid="{F2835588-295A-4343-A2CF-077860F32982}" name="Operations" totalsRowFunction="sum" dataDxfId="169" totalsRowDxfId="168">
      <calculatedColumnFormula>SUMIFS(operations[Amount],operations[Bank],flow_2[[#This Row],[Bank]],operations[Product],flow_2[[#This Row],[Product]],operations[Month],$B$11)</calculatedColumnFormula>
    </tableColumn>
    <tableColumn id="5" xr3:uid="{DCB4B629-A800-49A6-8C39-DDA095F2B2EB}" name="Closing balance" totalsRowFunction="sum" dataDxfId="167" totalsRowDxfId="166">
      <calculatedColumnFormula>flow_2[[#This Row],[Opening balance]]+flow_2[[#This Row],[Operations]]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20B48A-8677-428F-B2E6-833240186729}" name="incomes_2" displayName="incomes_2" ref="G1:H8" totalsRowCount="1">
  <autoFilter ref="G1:H7" xr:uid="{B52B59FF-2350-40C8-9B96-1709E1871F65}"/>
  <tableColumns count="2">
    <tableColumn id="1" xr3:uid="{1F79D825-1B96-43BB-A8B8-AFAFE2495C0D}" name="Category" totalsRowLabel="Total"/>
    <tableColumn id="2" xr3:uid="{25A9C85F-805F-4A78-9A14-B419646C701F}" name="Total" totalsRowFunction="sum" dataDxfId="165" totalsRowDxfId="164">
      <calculatedColumnFormula>SUMIFS(operations[Amount],operations[Month],$B$11,operations[Category],incomes_2[[#This Row],[Category]])</calculatedColumn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852451-EC32-4CDA-91C8-B475ACB78647}" name="expenses_2" displayName="expenses_2" ref="J1:K11" totalsRowCount="1">
  <autoFilter ref="J1:K10" xr:uid="{D6FB335A-F4E0-4423-9F20-7590C620A67C}"/>
  <tableColumns count="2">
    <tableColumn id="1" xr3:uid="{6B0A0B66-CCDF-4A87-A2DE-CC2154D76A37}" name="Category" totalsRowLabel="Total"/>
    <tableColumn id="2" xr3:uid="{B7FE68B8-91A5-4076-8790-A9BEFC38DDF9}" name="Total" totalsRowFunction="sum" dataDxfId="163" totalsRowDxfId="162">
      <calculatedColumnFormula>SUMIFS(operations[Amount],operations[Month],$B$11,operations[Category],expenses_2[[#This Row],[Category]])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7EC874-CB77-4078-9539-6E1BAFDEDCA6}" name="balance_2" displayName="balance_2" ref="A13:B17" totalsRowCount="1">
  <autoFilter ref="A13:B16" xr:uid="{89A692EA-E473-4C35-8FA8-3DDCF8A08520}"/>
  <tableColumns count="2">
    <tableColumn id="1" xr3:uid="{DDB9C769-54F2-446B-965D-6FFED09EDD47}" name="Type" totalsRowLabel="Total"/>
    <tableColumn id="2" xr3:uid="{A055267E-8528-4F27-BB80-C581D8A53503}" name="Total" totalsRowFunction="sum" dataDxfId="161" totalsRowDxfId="160">
      <calculatedColumnFormula>SUMIFS(operations[Amount],operations[Month],$B$11,operations[Type],balance_2[[#This Row],[Type]])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25B26E-32E0-4C44-8B6F-A1801C453153}" name="flow_3" displayName="flow_3" ref="A1:E9" totalsRowCount="1">
  <autoFilter ref="A1:E8" xr:uid="{AF8923BB-D770-4302-BE82-67FDC9D6A765}"/>
  <tableColumns count="5">
    <tableColumn id="1" xr3:uid="{2B7350A6-E196-43E4-82BC-78070000B81E}" name="Bank" totalsRowLabel="Total" dataDxfId="159" totalsRowDxfId="158"/>
    <tableColumn id="2" xr3:uid="{83853AC4-5938-41DE-8C78-1030C4F0E70B}" name="Product" dataDxfId="157" totalsRowDxfId="156"/>
    <tableColumn id="3" xr3:uid="{76C9719A-6AFD-436A-81E9-B63A7526785F}" name="Opening balance" totalsRowFunction="sum" dataDxfId="155" totalsRowDxfId="154"/>
    <tableColumn id="4" xr3:uid="{AA78CD09-596A-465A-BA30-7D33FEC5531F}" name="Operations" totalsRowFunction="sum" dataDxfId="153" totalsRowDxfId="152">
      <calculatedColumnFormula>SUMIFS(operations[Amount],operations[Bank],flow_3[[#This Row],[Bank]],operations[Product],flow_3[[#This Row],[Product]],operations[Month],$B$11)</calculatedColumnFormula>
    </tableColumn>
    <tableColumn id="5" xr3:uid="{198B23DD-1A07-4132-9E52-E0EFF8F0E28F}" name="Closing balance" totalsRowFunction="sum" dataDxfId="151" totalsRowDxfId="150">
      <calculatedColumnFormula>flow_3[[#This Row],[Opening balance]]+flow_3[[#This Row],[Operations]]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9E1152-4315-44BB-BB88-9995C12F6005}" name="incomes_3" displayName="incomes_3" ref="G1:H8" totalsRowCount="1">
  <autoFilter ref="G1:H7" xr:uid="{B52B59FF-2350-40C8-9B96-1709E1871F65}"/>
  <tableColumns count="2">
    <tableColumn id="1" xr3:uid="{FB13C42D-A518-4AC7-ADB5-F6475B2C8B99}" name="Category" totalsRowLabel="Total"/>
    <tableColumn id="2" xr3:uid="{F489ECE9-184D-4E40-879B-E9AC6FF20A5D}" name="Total" totalsRowFunction="sum" dataDxfId="149" totalsRowDxfId="148">
      <calculatedColumnFormula>SUMIFS(operations[Amount],operations[Month],$B$11,operations[Category],incomes_3[[#This Row],[Category]])</calculatedColumnFormula>
    </tableColumn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E853A6-D919-418F-B1DB-ED0959F2D3A3}" name="expenses_3" displayName="expenses_3" ref="J1:K11" totalsRowCount="1">
  <autoFilter ref="J1:K10" xr:uid="{D6FB335A-F4E0-4423-9F20-7590C620A67C}"/>
  <tableColumns count="2">
    <tableColumn id="1" xr3:uid="{EFC6029D-2D50-4726-90ED-4149FE445758}" name="Category" totalsRowLabel="Total"/>
    <tableColumn id="2" xr3:uid="{248D62C1-8FB0-4E7A-88DC-CFCF67AECB62}" name="Total" totalsRowFunction="sum" dataDxfId="147" totalsRowDxfId="146">
      <calculatedColumnFormula>SUMIFS(operations[Amount],operations[Month],$B$11,operations[Category],expenses_3[[#This Row],[Category]])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018596-7BBE-4664-9E74-970DCCAD695E}" name="balance_3" displayName="balance_3" ref="A13:B17" totalsRowCount="1">
  <autoFilter ref="A13:B16" xr:uid="{89A692EA-E473-4C35-8FA8-3DDCF8A08520}"/>
  <tableColumns count="2">
    <tableColumn id="1" xr3:uid="{009D8F49-C3A0-4997-ADF1-BB485B8F68E2}" name="Type" totalsRowLabel="Total"/>
    <tableColumn id="2" xr3:uid="{0C19D58D-963F-460E-AF8A-801CC103DADC}" name="Total" totalsRowFunction="sum" dataDxfId="145" totalsRowDxfId="144">
      <calculatedColumnFormula>SUMIFS(operations[Amount],operations[Month],$B$11,operations[Type],balance_3[[#This Row],[Type]])</calculatedColumnFormula>
    </tableColumn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E3EE48-0A2E-4A78-8B7E-258783E606E0}" name="flow_4" displayName="flow_4" ref="A1:E9" totalsRowCount="1">
  <autoFilter ref="A1:E8" xr:uid="{AF8923BB-D770-4302-BE82-67FDC9D6A765}"/>
  <tableColumns count="5">
    <tableColumn id="1" xr3:uid="{F6EA8010-B733-4173-B010-78ACEFEE69C2}" name="Bank" totalsRowLabel="Total" dataDxfId="143" totalsRowDxfId="142"/>
    <tableColumn id="2" xr3:uid="{065F9E1A-3D38-49D5-A876-489202AD75A9}" name="Product" dataDxfId="141" totalsRowDxfId="140"/>
    <tableColumn id="3" xr3:uid="{B99AD742-C69E-4945-B201-4A8CDA70718B}" name="Opening balance" totalsRowFunction="sum" dataDxfId="139" totalsRowDxfId="138"/>
    <tableColumn id="4" xr3:uid="{020C2992-007D-4576-845F-6325A6BC993A}" name="Operations" totalsRowFunction="sum" dataDxfId="137" totalsRowDxfId="136">
      <calculatedColumnFormula>SUMIFS(operations[Amount],operations[Bank],flow_4[[#This Row],[Bank]],operations[Product],flow_4[[#This Row],[Product]],operations[Month],$B$11)</calculatedColumnFormula>
    </tableColumn>
    <tableColumn id="5" xr3:uid="{B047EE96-2096-494E-8826-65619DC4DBAA}" name="Closing balance" totalsRowFunction="sum" dataDxfId="135" totalsRowDxfId="134">
      <calculatedColumnFormula>flow_4[[#This Row],[Opening balance]]+flow_4[[#This Row],[Operations]]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BFF36C-C039-4116-BEA5-79A367F0CD8B}" name="incomes_4" displayName="incomes_4" ref="G1:H8" totalsRowCount="1">
  <autoFilter ref="G1:H7" xr:uid="{B52B59FF-2350-40C8-9B96-1709E1871F65}"/>
  <tableColumns count="2">
    <tableColumn id="1" xr3:uid="{5CD8E665-3C6F-4F37-A4BF-B922FE98CFDB}" name="Category" totalsRowLabel="Total"/>
    <tableColumn id="2" xr3:uid="{1950539C-26CA-48E0-96E4-EAF71C91CCAD}" name="Total" totalsRowFunction="sum" dataDxfId="133" totalsRowDxfId="132">
      <calculatedColumnFormula>SUMIFS(operations[Amount],operations[Month],$B$11,operations[Category],incomes_4[[#This Row],[Category]])</calculatedColumnFormula>
    </tableColumn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4A4F5-B352-4011-982D-51E2D79FCE3A}" name="expenses_4" displayName="expenses_4" ref="J1:K11" totalsRowCount="1">
  <autoFilter ref="J1:K10" xr:uid="{D6FB335A-F4E0-4423-9F20-7590C620A67C}"/>
  <tableColumns count="2">
    <tableColumn id="1" xr3:uid="{6924D74B-7592-4555-BB71-223E3D209257}" name="Category" totalsRowLabel="Total"/>
    <tableColumn id="2" xr3:uid="{7BD7594D-AEB3-4A05-913D-10A1436D4475}" name="Total" totalsRowFunction="sum" dataDxfId="131" totalsRowDxfId="130">
      <calculatedColumnFormula>SUMIFS(operations[Amount],operations[Month],$B$11,operations[Category],expenses_4[[#This Row],[Category]])</calculatedColumnFormula>
    </tableColumn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946D006-74A6-4423-8482-21C65DA2D98F}" name="balance_4" displayName="balance_4" ref="A13:B17" totalsRowCount="1">
  <autoFilter ref="A13:B16" xr:uid="{89A692EA-E473-4C35-8FA8-3DDCF8A08520}"/>
  <tableColumns count="2">
    <tableColumn id="1" xr3:uid="{CF13981D-E595-4177-B9B3-874CD4AE599E}" name="Type" totalsRowLabel="Total"/>
    <tableColumn id="2" xr3:uid="{59677F80-8C30-4B4F-9E5C-991A23AE9A39}" name="Total" totalsRowFunction="sum" dataDxfId="129" totalsRowDxfId="128">
      <calculatedColumnFormula>SUMIFS(operations[Amount],operations[Month],$B$11,operations[Type],balance_4[[#This Row],[Type]])</calculatedColumnFormula>
    </tableColumn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55BD2CD-FFAF-46A7-A78E-F02D135206B7}" name="flow_5" displayName="flow_5" ref="A1:E9" totalsRowCount="1">
  <autoFilter ref="A1:E8" xr:uid="{AF8923BB-D770-4302-BE82-67FDC9D6A765}"/>
  <tableColumns count="5">
    <tableColumn id="1" xr3:uid="{994A2AEE-7F0E-4A2A-9243-749ADFB4CB4E}" name="Bank" totalsRowLabel="Total" dataDxfId="127" totalsRowDxfId="126"/>
    <tableColumn id="2" xr3:uid="{98BE5160-9444-4A2B-82DB-8B240215098B}" name="Product" dataDxfId="125" totalsRowDxfId="124"/>
    <tableColumn id="3" xr3:uid="{2B9333C9-F956-4FDD-A072-1F3F76193925}" name="Opening balance" totalsRowFunction="sum" dataDxfId="123" totalsRowDxfId="122"/>
    <tableColumn id="4" xr3:uid="{7723D7C3-DBA3-4D0B-8F87-37345B3348F9}" name="Operations" totalsRowFunction="sum" dataDxfId="121" totalsRowDxfId="120">
      <calculatedColumnFormula>SUMIFS(operations[Amount],operations[Bank],flow_5[[#This Row],[Bank]],operations[Product],flow_5[[#This Row],[Product]],operations[Month],$B$11)</calculatedColumnFormula>
    </tableColumn>
    <tableColumn id="5" xr3:uid="{01820E45-2778-489D-BE71-A78CFEAB047F}" name="Closing balance" totalsRowFunction="sum" dataDxfId="119" totalsRowDxfId="118">
      <calculatedColumnFormula>flow_5[[#This Row],[Opening balance]]+flow_5[[#This Row],[Operations]]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64E800-07E5-4EE1-B1FD-7D8C32D29ABE}" name="incomes_5" displayName="incomes_5" ref="G1:H8" totalsRowCount="1">
  <autoFilter ref="G1:H7" xr:uid="{B52B59FF-2350-40C8-9B96-1709E1871F65}"/>
  <tableColumns count="2">
    <tableColumn id="1" xr3:uid="{74D6E3D9-8756-4073-93E1-39AF294075E3}" name="Category" totalsRowLabel="Total"/>
    <tableColumn id="2" xr3:uid="{3B410DB2-17D0-4333-B6D8-307D9BD43C42}" name="Total" totalsRowFunction="sum" dataDxfId="117" totalsRowDxfId="116">
      <calculatedColumnFormula>SUMIFS(operations[Amount],operations[Month],$B$11,operations[Category],incomes_5[[#This Row],[Category]])</calculatedColumnFormula>
    </tableColumn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6F673EF-4AEC-4EBC-A711-16252BF4CD1C}" name="expenses_5" displayName="expenses_5" ref="J1:K11" totalsRowCount="1">
  <autoFilter ref="J1:K10" xr:uid="{D6FB335A-F4E0-4423-9F20-7590C620A67C}"/>
  <tableColumns count="2">
    <tableColumn id="1" xr3:uid="{66DDF44F-B718-4C2C-9E9D-7F8444BC1CA5}" name="Category" totalsRowLabel="Total"/>
    <tableColumn id="2" xr3:uid="{D4B9C24C-DC03-41D9-B781-2C62F64AF2FD}" name="Total" totalsRowFunction="sum" dataDxfId="115" totalsRowDxfId="114">
      <calculatedColumnFormula>SUMIFS(operations[Amount],operations[Month],$B$11,operations[Category],expenses_5[[#This Row],[Category]])</calculatedColumnFormula>
    </tableColumn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0CCD69B-D7C8-44B4-8F91-BF8A97F9C6F7}" name="balance_5" displayName="balance_5" ref="A13:B17" totalsRowCount="1">
  <autoFilter ref="A13:B16" xr:uid="{89A692EA-E473-4C35-8FA8-3DDCF8A08520}"/>
  <tableColumns count="2">
    <tableColumn id="1" xr3:uid="{64149C7F-74C7-46EC-9953-E30769DFC9B5}" name="Type" totalsRowLabel="Total"/>
    <tableColumn id="2" xr3:uid="{8E2FE464-1A68-4F01-9006-83DC0930A80C}" name="Total" totalsRowFunction="sum" dataDxfId="113" totalsRowDxfId="112">
      <calculatedColumnFormula>SUMIFS(operations[Amount],operations[Month],$B$11,operations[Type],balance_5[[#This Row],[Type]])</calculatedColumnFormula>
    </tableColumn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E160591-C980-4878-88E2-45A8BD781E1F}" name="flow_6" displayName="flow_6" ref="A1:E9" totalsRowCount="1">
  <autoFilter ref="A1:E8" xr:uid="{AF8923BB-D770-4302-BE82-67FDC9D6A765}"/>
  <tableColumns count="5">
    <tableColumn id="1" xr3:uid="{0B1AB33E-A89C-4EED-9823-31367C366D19}" name="Bank" totalsRowLabel="Total" dataDxfId="111" totalsRowDxfId="110"/>
    <tableColumn id="2" xr3:uid="{96CA306A-F096-4CB4-87B8-4F0D61B62273}" name="Product" dataDxfId="109" totalsRowDxfId="108"/>
    <tableColumn id="3" xr3:uid="{97D1185B-B6CB-40F6-A7F5-3643286485DA}" name="Opening balance" totalsRowFunction="sum" dataDxfId="107" totalsRowDxfId="106"/>
    <tableColumn id="4" xr3:uid="{951AC7AA-BCA0-41E6-8400-EE2CD0FCBF38}" name="Operations" totalsRowFunction="sum" dataDxfId="105" totalsRowDxfId="104">
      <calculatedColumnFormula>SUMIFS(operations[Amount],operations[Bank],flow_6[[#This Row],[Bank]],operations[Product],flow_6[[#This Row],[Product]],operations[Month],$B$11)</calculatedColumnFormula>
    </tableColumn>
    <tableColumn id="5" xr3:uid="{1399476C-3B99-404C-A6BB-7B8AB849E07B}" name="Closing balance" totalsRowFunction="sum" dataDxfId="103" totalsRowDxfId="102">
      <calculatedColumnFormula>flow_6[[#This Row],[Opening balance]]+flow_6[[#This Row],[Operations]]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4D08E6-AAA3-4311-BD44-BE3D3CB2C167}" name="incomes_6" displayName="incomes_6" ref="G1:H8" totalsRowCount="1">
  <autoFilter ref="G1:H7" xr:uid="{B52B59FF-2350-40C8-9B96-1709E1871F65}"/>
  <tableColumns count="2">
    <tableColumn id="1" xr3:uid="{215A2009-CE69-4778-BF43-3A0D35E3B0EE}" name="Category" totalsRowLabel="Total"/>
    <tableColumn id="2" xr3:uid="{EEE4B84B-070D-4F1C-A898-55DA82CF5D2B}" name="Total" totalsRowFunction="sum" dataDxfId="101" totalsRowDxfId="100">
      <calculatedColumnFormula>SUMIFS(operations[Amount],operations[Month],$B$11,operations[Category],incomes_6[[#This Row],[Category]])</calculatedColumnFormula>
    </tableColumn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F123567-E922-4361-8694-2B5F29CF41A2}" name="expenses_6" displayName="expenses_6" ref="J1:K11" totalsRowCount="1">
  <autoFilter ref="J1:K10" xr:uid="{D6FB335A-F4E0-4423-9F20-7590C620A67C}"/>
  <tableColumns count="2">
    <tableColumn id="1" xr3:uid="{4BBAB731-E603-45F3-8A20-FC69E05A9CB3}" name="Category" totalsRowLabel="Total"/>
    <tableColumn id="2" xr3:uid="{A2904479-CBAA-4080-958E-5FC9161E9467}" name="Total" totalsRowFunction="sum" dataDxfId="99" totalsRowDxfId="98">
      <calculatedColumnFormula>SUMIFS(operations[Amount],operations[Month],$B$11,operations[Category],expenses_6[[#This Row],[Category]])</calculatedColumnFormula>
    </tableColumn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8A45B4-03F9-40EA-8EEB-9DF1BEA1A1F5}" name="balance_6" displayName="balance_6" ref="A13:B17" totalsRowCount="1">
  <autoFilter ref="A13:B16" xr:uid="{89A692EA-E473-4C35-8FA8-3DDCF8A08520}"/>
  <tableColumns count="2">
    <tableColumn id="1" xr3:uid="{1737007D-D49D-43C0-B083-FA4458F522FC}" name="Type" totalsRowLabel="Total"/>
    <tableColumn id="2" xr3:uid="{2DA6A8C0-A222-4C80-87CF-CA3EDD885758}" name="Total" totalsRowFunction="sum" dataDxfId="97" totalsRowDxfId="96">
      <calculatedColumnFormula>SUMIFS(operations[Amount],operations[Month],$B$11,operations[Type],balance_6[[#This Row],[Type]])</calculatedColumnFormula>
    </tableColumn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563E19-1B91-4CCF-A6E8-A559CC83EC64}" name="flow_7" displayName="flow_7" ref="A1:E9" totalsRowCount="1">
  <autoFilter ref="A1:E8" xr:uid="{AF8923BB-D770-4302-BE82-67FDC9D6A765}"/>
  <tableColumns count="5">
    <tableColumn id="1" xr3:uid="{C54164AD-BF87-4B1E-883C-2631FFAE575D}" name="Bank" totalsRowLabel="Total" dataDxfId="95" totalsRowDxfId="94"/>
    <tableColumn id="2" xr3:uid="{C142DB7B-4D1D-482D-9457-A36F37DA6CF8}" name="Product" dataDxfId="93" totalsRowDxfId="92"/>
    <tableColumn id="3" xr3:uid="{91DD433E-33AF-4091-AED2-CD63FABFA862}" name="Opening balance" totalsRowFunction="sum" dataDxfId="91" totalsRowDxfId="90"/>
    <tableColumn id="4" xr3:uid="{2A648564-DF4C-4DD0-BA36-9C49FF4C3EBE}" name="Operations" totalsRowFunction="sum" dataDxfId="89" totalsRowDxfId="88">
      <calculatedColumnFormula>SUMIFS(operations[Amount],operations[Bank],flow_7[[#This Row],[Bank]],operations[Product],flow_7[[#This Row],[Product]],operations[Month],$B$11)</calculatedColumnFormula>
    </tableColumn>
    <tableColumn id="5" xr3:uid="{A31EA902-5C7D-402F-9C8F-115C258CDC51}" name="Closing balance" totalsRowFunction="sum" dataDxfId="87" totalsRowDxfId="86">
      <calculatedColumnFormula>flow_7[[#This Row],[Opening balance]]+flow_7[[#This Row],[Operations]]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143F23D-AA53-439F-840C-DA4A8835F106}" name="incomes_7" displayName="incomes_7" ref="G1:H8" totalsRowCount="1">
  <autoFilter ref="G1:H7" xr:uid="{B52B59FF-2350-40C8-9B96-1709E1871F65}"/>
  <tableColumns count="2">
    <tableColumn id="1" xr3:uid="{711B5F8D-E956-4747-A826-B3FE27E8C15A}" name="Category" totalsRowLabel="Total"/>
    <tableColumn id="2" xr3:uid="{231D0C4A-D1DF-4656-8DEC-D4F3D9091544}" name="Total" totalsRowFunction="sum" dataDxfId="85" totalsRowDxfId="84">
      <calculatedColumnFormula>SUMIFS(operations[Amount],operations[Month],$B$11,operations[Category],incomes_7[[#This Row],[Category]])</calculatedColumnFormula>
    </tableColumn>
  </tableColumns>
  <tableStyleInfo name="TableStyleLight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11B0B8B-D9E1-4AD5-B293-D4D18C770883}" name="expenses_7" displayName="expenses_7" ref="J1:K11" totalsRowCount="1">
  <autoFilter ref="J1:K10" xr:uid="{D6FB335A-F4E0-4423-9F20-7590C620A67C}"/>
  <tableColumns count="2">
    <tableColumn id="1" xr3:uid="{9049872E-A621-4AEF-A1F4-8D8350440CE3}" name="Category" totalsRowLabel="Total"/>
    <tableColumn id="2" xr3:uid="{90E0E0A7-E59C-4517-AB7A-D0CCAAB42EBC}" name="Total" totalsRowFunction="sum" dataDxfId="83" totalsRowDxfId="82">
      <calculatedColumnFormula>SUMIFS(operations[Amount],operations[Month],$B$11,operations[Category],expenses_7[[#This Row],[Category]])</calculatedColumnFormula>
    </tableColumn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842BCBF-E2E2-4EA8-A48F-EB5EC80296B6}" name="balance_7" displayName="balance_7" ref="A13:B17" totalsRowCount="1">
  <autoFilter ref="A13:B16" xr:uid="{89A692EA-E473-4C35-8FA8-3DDCF8A08520}"/>
  <tableColumns count="2">
    <tableColumn id="1" xr3:uid="{2B54707D-5999-45DC-A4DE-67FB6A6EAAEC}" name="Type" totalsRowLabel="Total"/>
    <tableColumn id="2" xr3:uid="{34210AC0-2C02-4271-A8E5-7939A12A0A99}" name="Total" totalsRowFunction="sum" dataDxfId="81" totalsRowDxfId="80">
      <calculatedColumnFormula>SUMIFS(operations[Amount],operations[Month],$B$11,operations[Type],balance_7[[#This Row],[Type]])</calculatedColumnFormula>
    </tableColumn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6E92DE2-2B22-435E-B436-A72AB9FCDAA1}" name="flow_8" displayName="flow_8" ref="A1:E9" totalsRowCount="1">
  <autoFilter ref="A1:E8" xr:uid="{AF8923BB-D770-4302-BE82-67FDC9D6A765}"/>
  <tableColumns count="5">
    <tableColumn id="1" xr3:uid="{1F4590B6-CF91-48D0-864A-FA6414C17251}" name="Bank" totalsRowLabel="Total" dataDxfId="79" totalsRowDxfId="78"/>
    <tableColumn id="2" xr3:uid="{55C5FC7E-7F9E-4230-AC23-A5D32AE5BAFF}" name="Product" dataDxfId="77" totalsRowDxfId="76"/>
    <tableColumn id="3" xr3:uid="{194B4411-6340-4AE8-B1B0-43D536E14BB8}" name="Opening balance" totalsRowFunction="sum" dataDxfId="75" totalsRowDxfId="74"/>
    <tableColumn id="4" xr3:uid="{B1C1618A-5399-4932-A247-A36BB8C5765E}" name="Operations" totalsRowFunction="sum" dataDxfId="73" totalsRowDxfId="72">
      <calculatedColumnFormula>SUMIFS(operations[Amount],operations[Bank],flow_8[[#This Row],[Bank]],operations[Product],flow_8[[#This Row],[Product]],operations[Month],$B$11)</calculatedColumnFormula>
    </tableColumn>
    <tableColumn id="5" xr3:uid="{4CAA57C3-DEFA-4557-8D43-4C412E6CB8DA}" name="Closing balance" totalsRowFunction="sum" dataDxfId="71" totalsRowDxfId="70">
      <calculatedColumnFormula>flow_8[[#This Row],[Opening balance]]+flow_8[[#This Row],[Operations]]</calculatedColumnFormula>
    </tableColumn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8265D52-3CBF-46B8-BB18-C272F6ADEBBC}" name="incomes_8" displayName="incomes_8" ref="G1:H8" totalsRowCount="1">
  <autoFilter ref="G1:H7" xr:uid="{B52B59FF-2350-40C8-9B96-1709E1871F65}"/>
  <tableColumns count="2">
    <tableColumn id="1" xr3:uid="{D3611C34-B4A2-4A7F-A89F-8B6A1F3E3688}" name="Category" totalsRowLabel="Total"/>
    <tableColumn id="2" xr3:uid="{C6ED3B15-01DB-4923-8335-A927DA0C8A7C}" name="Total" totalsRowFunction="sum" dataDxfId="69" totalsRowDxfId="68">
      <calculatedColumnFormula>SUMIFS(operations[Amount],operations[Month],$B$11,operations[Category],incomes_8[[#This Row],[Category]])</calculatedColumnFormula>
    </tableColumn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926B16F-7D1F-47E8-8601-595184124C4C}" name="expenses_9" displayName="expenses_9" ref="J1:K11" totalsRowCount="1">
  <autoFilter ref="J1:K10" xr:uid="{D6FB335A-F4E0-4423-9F20-7590C620A67C}"/>
  <tableColumns count="2">
    <tableColumn id="1" xr3:uid="{477C2068-CAB1-4BFE-8728-7969EAEEBFAD}" name="Category" totalsRowLabel="Total"/>
    <tableColumn id="2" xr3:uid="{92DA2C11-B146-4AF4-BE55-A3D196FA24CF}" name="Total" totalsRowFunction="sum" dataDxfId="67" totalsRowDxfId="66">
      <calculatedColumnFormula>SUMIFS(operations[Amount],operations[Month],$B$11,operations[Category],expenses_9[[#This Row],[Category]])</calculatedColumnFormula>
    </tableColumn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74FC67C-B757-4D92-AACA-5341DCDACB63}" name="balance_8" displayName="balance_8" ref="A13:B17" totalsRowCount="1">
  <autoFilter ref="A13:B16" xr:uid="{89A692EA-E473-4C35-8FA8-3DDCF8A08520}"/>
  <tableColumns count="2">
    <tableColumn id="1" xr3:uid="{4972CB5A-C147-4EC3-9ED6-D6D8B9F420F2}" name="Type" totalsRowLabel="Total"/>
    <tableColumn id="2" xr3:uid="{CD93A6DF-B727-44B0-A445-AC5C1B654B7F}" name="Total" totalsRowFunction="sum" dataDxfId="65" totalsRowDxfId="64">
      <calculatedColumnFormula>SUMIFS(operations[Amount],operations[Month],$B$11,operations[Type],balance_8[[#This Row],[Type]])</calculatedColumnFormula>
    </tableColumn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D752BAC-F8F0-4B96-A013-3B15D9C6B488}" name="flow_9" displayName="flow_9" ref="A1:E9" totalsRowCount="1">
  <autoFilter ref="A1:E8" xr:uid="{AF8923BB-D770-4302-BE82-67FDC9D6A765}"/>
  <tableColumns count="5">
    <tableColumn id="1" xr3:uid="{951A3EB8-367B-4F6F-ADB0-FC1E64625A9E}" name="Bank" totalsRowLabel="Total" dataDxfId="63" totalsRowDxfId="62"/>
    <tableColumn id="2" xr3:uid="{DF020E50-2D44-434E-84A1-16D656464DA8}" name="Product" dataDxfId="61" totalsRowDxfId="60"/>
    <tableColumn id="3" xr3:uid="{B8637584-EC1D-4D5B-9A78-1EF200206923}" name="Opening balance" totalsRowFunction="sum" dataDxfId="59" totalsRowDxfId="58"/>
    <tableColumn id="4" xr3:uid="{075CEC14-CCAA-466B-B44D-6A56ADA6E9CF}" name="Operations" totalsRowFunction="sum" dataDxfId="57" totalsRowDxfId="56">
      <calculatedColumnFormula>SUMIFS(operations[Amount],operations[Bank],flow_9[[#This Row],[Bank]],operations[Product],flow_9[[#This Row],[Product]],operations[Month],$B$11)</calculatedColumnFormula>
    </tableColumn>
    <tableColumn id="5" xr3:uid="{86B94DCE-89D6-41E0-A4D1-AD308444E64D}" name="Closing balance" totalsRowFunction="sum" dataDxfId="55" totalsRowDxfId="54">
      <calculatedColumnFormula>flow_9[[#This Row],[Opening balance]]+flow_9[[#This Row],[Operations]]</calculatedColumnFormula>
    </tableColumn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044CF22-2704-4BF5-9514-1EBDEDCA445E}" name="incomes_9" displayName="incomes_9" ref="G1:H8" totalsRowCount="1">
  <autoFilter ref="G1:H7" xr:uid="{B52B59FF-2350-40C8-9B96-1709E1871F65}"/>
  <tableColumns count="2">
    <tableColumn id="1" xr3:uid="{A4D92743-8192-456B-A868-E8A62886D910}" name="Category" totalsRowLabel="Total"/>
    <tableColumn id="2" xr3:uid="{A25CD62A-3A18-409B-8282-DC37E643937E}" name="Total" totalsRowFunction="sum" dataDxfId="53" totalsRowDxfId="52">
      <calculatedColumnFormula>SUMIFS(operations[Amount],operations[Month],$B$11,operations[Category],incomes_9[[#This Row],[Category]])</calculatedColumnFormula>
    </tableColumn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65BB05C-BE4B-4BB6-86F9-FAE2C5DF3B0A}" name="expenses_8" displayName="expenses_8" ref="J1:K11" totalsRowCount="1">
  <autoFilter ref="J1:K10" xr:uid="{D6FB335A-F4E0-4423-9F20-7590C620A67C}"/>
  <tableColumns count="2">
    <tableColumn id="1" xr3:uid="{05F6C191-2598-473B-8265-5BDA139E57AD}" name="Category" totalsRowLabel="Total"/>
    <tableColumn id="2" xr3:uid="{1F244D7D-DDE8-4AE3-8AB6-56F5AB7AEF50}" name="Total" totalsRowFunction="sum" dataDxfId="51" totalsRowDxfId="50">
      <calculatedColumnFormula>SUMIFS(operations[Amount],operations[Month],$B$11,operations[Category],expenses_8[[#This Row],[Category]])</calculatedColumnFormula>
    </tableColumn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6A200E5-88A1-45A1-9780-471FC7BA4E9F}" name="balance_9" displayName="balance_9" ref="A13:B17" totalsRowCount="1">
  <autoFilter ref="A13:B16" xr:uid="{89A692EA-E473-4C35-8FA8-3DDCF8A08520}"/>
  <tableColumns count="2">
    <tableColumn id="1" xr3:uid="{835DAB2A-3629-4F4C-A3F0-A085EB2A6EF5}" name="Type" totalsRowLabel="Total"/>
    <tableColumn id="2" xr3:uid="{65338850-D346-427B-B316-91822A89206E}" name="Total" totalsRowFunction="sum" dataDxfId="49" totalsRowDxfId="48">
      <calculatedColumnFormula>SUMIFS(operations[Amount],operations[Month],$B$11,operations[Type],balance_9[[#This Row],[Type]])</calculatedColumnFormula>
    </tableColumn>
  </tableColumns>
  <tableStyleInfo name="TableStyleLight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69CC1B9-0286-4AD6-B7DD-957A8E27A4F9}" name="flow_10" displayName="flow_10" ref="A1:E9" totalsRowCount="1">
  <autoFilter ref="A1:E8" xr:uid="{AF8923BB-D770-4302-BE82-67FDC9D6A765}"/>
  <tableColumns count="5">
    <tableColumn id="1" xr3:uid="{B99C47A2-4C82-42AB-8A32-3996F382F970}" name="Bank" totalsRowLabel="Total" dataDxfId="47" totalsRowDxfId="46"/>
    <tableColumn id="2" xr3:uid="{BCF23728-AF1C-4FDF-8197-E5D7E0139DCA}" name="Product" dataDxfId="45" totalsRowDxfId="44"/>
    <tableColumn id="3" xr3:uid="{C3829D33-CD86-4870-83D4-A94E769E2BF7}" name="Opening balance" totalsRowFunction="sum" dataDxfId="43" totalsRowDxfId="42"/>
    <tableColumn id="4" xr3:uid="{FB47511A-5DF9-40F0-B9F1-9FC803B8C6B7}" name="Operations" totalsRowFunction="sum" dataDxfId="41" totalsRowDxfId="40">
      <calculatedColumnFormula>SUMIFS(operations[Amount],operations[Bank],flow_10[[#This Row],[Bank]],operations[Product],flow_10[[#This Row],[Product]],operations[Month],$B$11)</calculatedColumnFormula>
    </tableColumn>
    <tableColumn id="5" xr3:uid="{4260FE1D-B115-4276-B161-A8E8F0886DB5}" name="Closing balance" totalsRowFunction="sum" dataDxfId="39" totalsRowDxfId="38">
      <calculatedColumnFormula>flow_10[[#This Row],[Opening balance]]+flow_10[[#This Row],[Operations]]</calculatedColumnFormula>
    </tableColumn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A048950-7EFF-4D17-8B75-BFF62A4970C5}" name="incomes_10" displayName="incomes_10" ref="G1:H8" totalsRowCount="1">
  <autoFilter ref="G1:H7" xr:uid="{B52B59FF-2350-40C8-9B96-1709E1871F65}"/>
  <tableColumns count="2">
    <tableColumn id="1" xr3:uid="{1A540A0F-5355-492C-92C7-BA3BB63AD871}" name="Category" totalsRowLabel="Total"/>
    <tableColumn id="2" xr3:uid="{8858AAF3-37CB-4BF9-9AC9-F520BC1B7FA1}" name="Total" totalsRowFunction="sum" dataDxfId="37" totalsRowDxfId="36">
      <calculatedColumnFormula>SUMIFS(operations[Amount],operations[Month],$B$11,operations[Category],incomes_10[[#This Row],[Category]])</calculatedColumnFormula>
    </tableColumn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6F11353-AB11-4087-B847-166BCF3F766D}" name="expenses_10" displayName="expenses_10" ref="J1:K11" totalsRowCount="1">
  <autoFilter ref="J1:K10" xr:uid="{D6FB335A-F4E0-4423-9F20-7590C620A67C}"/>
  <tableColumns count="2">
    <tableColumn id="1" xr3:uid="{3700D40B-88FD-4064-90C3-CA6B4D433A1A}" name="Category" totalsRowLabel="Total"/>
    <tableColumn id="2" xr3:uid="{3F58CD66-8B3B-4BE3-AC0B-F926B853A441}" name="Total" totalsRowFunction="sum" dataDxfId="35" totalsRowDxfId="34">
      <calculatedColumnFormula>SUMIFS(operations[Amount],operations[Month],$B$11,operations[Category],expenses_10[[#This Row],[Category]])</calculatedColumnFormula>
    </tableColumn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4FD78D3-EA3C-41CB-96E5-AD310C08C1DD}" name="balance_10" displayName="balance_10" ref="A13:B17" totalsRowCount="1">
  <autoFilter ref="A13:B16" xr:uid="{89A692EA-E473-4C35-8FA8-3DDCF8A08520}"/>
  <tableColumns count="2">
    <tableColumn id="1" xr3:uid="{791847FE-C47A-4CB4-B8C5-A0DCF28C985F}" name="Type" totalsRowLabel="Total"/>
    <tableColumn id="2" xr3:uid="{789B8E12-B9C9-41D6-9176-D6E5B2654178}" name="Total" totalsRowFunction="sum" dataDxfId="33" totalsRowDxfId="32">
      <calculatedColumnFormula>SUMIFS(operations[Amount],operations[Month],$B$11,operations[Type],balance_10[[#This Row],[Type]])</calculatedColumnFormula>
    </tableColumn>
  </tableColumns>
  <tableStyleInfo name="TableStyleLight14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7307E56-0108-4ECC-97DE-50C7FEBC5DB6}" name="flow_11" displayName="flow_11" ref="A1:E9" totalsRowCount="1">
  <autoFilter ref="A1:E8" xr:uid="{AF8923BB-D770-4302-BE82-67FDC9D6A765}"/>
  <tableColumns count="5">
    <tableColumn id="1" xr3:uid="{983FD83C-7085-446F-B910-BD40B445D279}" name="Bank" totalsRowLabel="Total" dataDxfId="31" totalsRowDxfId="30"/>
    <tableColumn id="2" xr3:uid="{57CAEECF-AA53-456E-A309-F316387CE3B2}" name="Product" dataDxfId="29" totalsRowDxfId="28"/>
    <tableColumn id="3" xr3:uid="{6C7EDE7E-7EA6-4C72-A784-3235451A2710}" name="Opening balance" totalsRowFunction="sum" dataDxfId="27" totalsRowDxfId="26"/>
    <tableColumn id="4" xr3:uid="{AC40DBC2-3427-4386-BFDA-917A051FC018}" name="Operations" totalsRowFunction="sum" dataDxfId="25" totalsRowDxfId="24">
      <calculatedColumnFormula>SUMIFS(operations[Amount],operations[Bank],flow_11[[#This Row],[Bank]],operations[Product],flow_11[[#This Row],[Product]],operations[Month],$B$11)</calculatedColumnFormula>
    </tableColumn>
    <tableColumn id="5" xr3:uid="{DD8D5AD9-B27B-4DB3-9A96-6C16DF6730C7}" name="Closing balance" totalsRowFunction="sum" dataDxfId="23" totalsRowDxfId="22">
      <calculatedColumnFormula>flow_11[[#This Row],[Opening balance]]+flow_11[[#This Row],[Operations]]</calculatedColumnFormula>
    </tableColumn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4588717-6CD4-4EC8-9FA9-9D974297BB9D}" name="incomes_11" displayName="incomes_11" ref="G1:H8" totalsRowCount="1">
  <autoFilter ref="G1:H7" xr:uid="{B52B59FF-2350-40C8-9B96-1709E1871F65}"/>
  <tableColumns count="2">
    <tableColumn id="1" xr3:uid="{FCAF023C-8EC4-42A4-A154-A07046023053}" name="Category" totalsRowLabel="Total"/>
    <tableColumn id="2" xr3:uid="{A3DB2636-F266-4F22-8904-F8D54B40B1EF}" name="Total" totalsRowFunction="sum" dataDxfId="21" totalsRowDxfId="20">
      <calculatedColumnFormula>SUMIFS(operations[Amount],operations[Month],$B$11,operations[Category],incomes_11[[#This Row],[Category]])</calculatedColumnFormula>
    </tableColumn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BE3C066-9589-4F2B-81F7-22AB03D7D08A}" name="expenses_11" displayName="expenses_11" ref="J1:K11" totalsRowCount="1">
  <autoFilter ref="J1:K10" xr:uid="{D6FB335A-F4E0-4423-9F20-7590C620A67C}"/>
  <tableColumns count="2">
    <tableColumn id="1" xr3:uid="{69282626-2FA5-4C7C-9719-E6BABCF9C8A9}" name="Category" totalsRowLabel="Total"/>
    <tableColumn id="2" xr3:uid="{5485326F-3A0F-47BA-97DC-41FA35C94F34}" name="Total" totalsRowFunction="sum" dataDxfId="19" totalsRowDxfId="18">
      <calculatedColumnFormula>SUMIFS(operations[Amount],operations[Month],$B$11,operations[Category],expenses_11[[#This Row],[Category]])</calculatedColumnFormula>
    </tableColumn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358F90D-A768-4FB5-B3D4-EC174E701FF7}" name="balance_11" displayName="balance_11" ref="A13:B17" totalsRowCount="1">
  <autoFilter ref="A13:B16" xr:uid="{89A692EA-E473-4C35-8FA8-3DDCF8A08520}"/>
  <tableColumns count="2">
    <tableColumn id="1" xr3:uid="{89CF4F39-0D8F-4E11-9CF7-139368C5CB6E}" name="Type" totalsRowLabel="Total"/>
    <tableColumn id="2" xr3:uid="{8FF545FE-4BF8-4D60-B03D-BD79D481B4F0}" name="Total" totalsRowFunction="sum" dataDxfId="17" totalsRowDxfId="16">
      <calculatedColumnFormula>SUMIFS(operations[Amount],operations[Month],$B$11,operations[Type],balance_11[[#This Row],[Type]])</calculatedColumnFormula>
    </tableColumn>
  </tableColumns>
  <tableStyleInfo name="TableStyleLight14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BAC29A2-D469-4C1D-B062-400BB289B193}" name="flow_12" displayName="flow_12" ref="A1:E9" totalsRowCount="1">
  <autoFilter ref="A1:E8" xr:uid="{AF8923BB-D770-4302-BE82-67FDC9D6A765}"/>
  <tableColumns count="5">
    <tableColumn id="1" xr3:uid="{1A9A6F07-CA49-42F3-9A26-F71DD3170019}" name="Bank" totalsRowLabel="Total" dataDxfId="15" totalsRowDxfId="14"/>
    <tableColumn id="2" xr3:uid="{8DF544C9-9723-40D6-BC95-95A010CC2409}" name="Product" dataDxfId="13" totalsRowDxfId="12"/>
    <tableColumn id="3" xr3:uid="{B8E8614F-88C2-4031-8DC9-5E2CCABA1869}" name="Opening balance" totalsRowFunction="sum" dataDxfId="11" totalsRowDxfId="10"/>
    <tableColumn id="4" xr3:uid="{5F19C5B6-EB15-44CC-8D90-FBE9F2B679E4}" name="Operations" totalsRowFunction="sum" dataDxfId="9" totalsRowDxfId="8">
      <calculatedColumnFormula>SUMIFS(operations[Amount],operations[Bank],flow_12[[#This Row],[Bank]],operations[Product],flow_12[[#This Row],[Product]],operations[Month],$B$11)</calculatedColumnFormula>
    </tableColumn>
    <tableColumn id="5" xr3:uid="{0C926AB0-E440-41C0-A6F6-66FC9BE7F5F2}" name="Closing balance" totalsRowFunction="sum" dataDxfId="7" totalsRowDxfId="6">
      <calculatedColumnFormula>flow_12[[#This Row],[Opening balance]]+flow_12[[#This Row],[Operations]]</calculatedColumnFormula>
    </tableColumn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C0B2AC8-DE1B-4F4C-9CB4-BD056D578BA2}" name="incomes_12" displayName="incomes_12" ref="G1:H8" totalsRowCount="1">
  <autoFilter ref="G1:H7" xr:uid="{B52B59FF-2350-40C8-9B96-1709E1871F65}"/>
  <tableColumns count="2">
    <tableColumn id="1" xr3:uid="{62C6FCA9-E007-499A-825A-BFEDABE4DFC4}" name="Category" totalsRowLabel="Total"/>
    <tableColumn id="2" xr3:uid="{CB6ACF38-758C-4D75-90C5-4313D0BE8196}" name="Total" totalsRowFunction="sum" dataDxfId="5" totalsRowDxfId="4">
      <calculatedColumnFormula>SUMIFS(operations[Amount],operations[Month],$B$11,operations[Category],incomes_12[[#This Row],[Category]])</calculatedColumnFormula>
    </tableColumn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59FFDD9-AEBE-4E3B-8426-C4D5953B9ADA}" name="expenses_12" displayName="expenses_12" ref="J1:K11" totalsRowCount="1">
  <autoFilter ref="J1:K10" xr:uid="{D6FB335A-F4E0-4423-9F20-7590C620A67C}"/>
  <tableColumns count="2">
    <tableColumn id="1" xr3:uid="{6FDA2A8B-5B17-46FA-9455-0243766444D7}" name="Category" totalsRowLabel="Total"/>
    <tableColumn id="2" xr3:uid="{D730FA79-B1A3-4FF7-8784-25CB7DF95EAD}" name="Total" totalsRowFunction="sum" dataDxfId="3" totalsRowDxfId="2">
      <calculatedColumnFormula>SUMIFS(operations[Amount],operations[Month],$B$11,operations[Category],expenses_12[[#This Row],[Category]])</calculatedColumnFormula>
    </tableColumn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846FF76-1726-4DB8-9C43-4A09CE8C0347}" name="balance_12" displayName="balance_12" ref="A13:B17" totalsRowCount="1">
  <autoFilter ref="A13:B16" xr:uid="{89A692EA-E473-4C35-8FA8-3DDCF8A08520}"/>
  <tableColumns count="2">
    <tableColumn id="1" xr3:uid="{9D04A813-D6AD-4119-A564-5CA1F9209F20}" name="Type" totalsRowLabel="Total"/>
    <tableColumn id="2" xr3:uid="{70462563-DD1F-4832-A1A0-EC5106B5937F}" name="Total" totalsRowFunction="sum" dataDxfId="1" totalsRowDxfId="0">
      <calculatedColumnFormula>SUMIFS(operations[Amount],operations[Month],$B$11,operations[Type],balance_12[[#This Row],[Type]])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4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4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4" Type="http://schemas.openxmlformats.org/officeDocument/2006/relationships/table" Target="../tables/table2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4" Type="http://schemas.openxmlformats.org/officeDocument/2006/relationships/table" Target="../tables/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4" Type="http://schemas.openxmlformats.org/officeDocument/2006/relationships/table" Target="../tables/table3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Relationship Id="rId4" Type="http://schemas.openxmlformats.org/officeDocument/2006/relationships/table" Target="../tables/table4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4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Relationship Id="rId4" Type="http://schemas.openxmlformats.org/officeDocument/2006/relationships/table" Target="../tables/table4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Relationship Id="rId4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8C52-C2D9-4B8F-8FBB-187C72EE9933}">
  <dimension ref="A1:O18"/>
  <sheetViews>
    <sheetView workbookViewId="0">
      <selection activeCell="C28" sqref="C28"/>
    </sheetView>
  </sheetViews>
  <sheetFormatPr defaultRowHeight="15" x14ac:dyDescent="0.25"/>
  <cols>
    <col min="1" max="1" width="13.85546875" customWidth="1"/>
    <col min="3" max="14" width="11.28515625" bestFit="1" customWidth="1"/>
    <col min="15" max="15" width="12.28515625" bestFit="1" customWidth="1"/>
  </cols>
  <sheetData>
    <row r="1" spans="1:15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37</v>
      </c>
    </row>
    <row r="2" spans="1:15" x14ac:dyDescent="0.25">
      <c r="A2" t="s">
        <v>18</v>
      </c>
      <c r="B2" t="s">
        <v>32</v>
      </c>
      <c r="C2" s="7" cm="1">
        <f t="array" ref="C2">SUMIFS(operations[[Amount]:[Amount]],operations[[Category]:[Category]],summary1[[#This Row],[Category]:[Category]],operations[[Month]:[Month]],summary1[[#Headers],[1]])</f>
        <v>-2000</v>
      </c>
      <c r="D2" s="7" cm="1">
        <f t="array" ref="D2">SUMIFS(operations[[Amount]:[Amount]],operations[[Category]:[Category]],summary1[[#This Row],[Category]:[Category]],operations[[Month]:[Month]],summary1[[#Headers],[2]])</f>
        <v>-2000</v>
      </c>
      <c r="E2" s="7" cm="1">
        <f t="array" ref="E2">SUMIFS(operations[[Amount]:[Amount]],operations[[Category]:[Category]],summary1[[#This Row],[Category]:[Category]],operations[[Month]:[Month]],summary1[[#Headers],[3]])</f>
        <v>-2000</v>
      </c>
      <c r="F2" s="7" cm="1">
        <f t="array" ref="F2">SUMIFS(operations[[Amount]:[Amount]],operations[[Category]:[Category]],summary1[[#This Row],[Category]:[Category]],operations[[Month]:[Month]],summary1[[#Headers],[4]])</f>
        <v>-2000</v>
      </c>
      <c r="G2" s="7" cm="1">
        <f t="array" ref="G2">SUMIFS(operations[[Amount]:[Amount]],operations[[Category]:[Category]],summary1[[#This Row],[Category]:[Category]],operations[[Month]:[Month]],summary1[[#Headers],[5]])</f>
        <v>-2000</v>
      </c>
      <c r="H2" s="7" cm="1">
        <f t="array" ref="H2">SUMIFS(operations[[Amount]:[Amount]],operations[[Category]:[Category]],summary1[[#This Row],[Category]:[Category]],operations[[Month]:[Month]],summary1[[#Headers],[6]])</f>
        <v>-2000</v>
      </c>
      <c r="I2" s="7" cm="1">
        <f t="array" ref="I2">SUMIFS(operations[[Amount]:[Amount]],operations[[Category]:[Category]],summary1[[#This Row],[Category]:[Category]],operations[[Month]:[Month]],summary1[[#Headers],[7]])</f>
        <v>-2000</v>
      </c>
      <c r="J2" s="7" cm="1">
        <f t="array" ref="J2">SUMIFS(operations[[Amount]:[Amount]],operations[[Category]:[Category]],summary1[[#This Row],[Category]:[Category]],operations[[Month]:[Month]],summary1[[#Headers],[8]])</f>
        <v>-2000</v>
      </c>
      <c r="K2" s="7" cm="1">
        <f t="array" ref="K2">SUMIFS(operations[[Amount]:[Amount]],operations[[Category]:[Category]],summary1[[#This Row],[Category]:[Category]],operations[[Month]:[Month]],summary1[[#Headers],[9]])</f>
        <v>-2000</v>
      </c>
      <c r="L2" s="7" cm="1">
        <f t="array" ref="L2">SUMIFS(operations[[Amount]:[Amount]],operations[[Category]:[Category]],summary1[[#This Row],[Category]:[Category]],operations[[Month]:[Month]],summary1[[#Headers],[10]])</f>
        <v>-2000</v>
      </c>
      <c r="M2" s="7" cm="1">
        <f t="array" ref="M2">SUMIFS(operations[[Amount]:[Amount]],operations[[Category]:[Category]],summary1[[#This Row],[Category]:[Category]],operations[[Month]:[Month]],summary1[[#Headers],[11]])</f>
        <v>-2000</v>
      </c>
      <c r="N2" s="7" cm="1">
        <f t="array" ref="N2">SUMIFS(operations[[Amount]:[Amount]],operations[[Category]:[Category]],summary1[[#This Row],[Category]:[Category]],operations[[Month]:[Month]],summary1[[#Headers],[12]])</f>
        <v>-2000</v>
      </c>
      <c r="O2" s="7">
        <f>SUM(summary1[[#This Row],[1]:[12]])</f>
        <v>-24000</v>
      </c>
    </row>
    <row r="3" spans="1:15" x14ac:dyDescent="0.25">
      <c r="A3" t="s">
        <v>22</v>
      </c>
      <c r="B3" t="s">
        <v>32</v>
      </c>
      <c r="C3" s="7" cm="1">
        <f t="array" ref="C3">SUMIFS(operations[[Amount]:[Amount]],operations[[Category]:[Category]],summary1[[#This Row],[Category]:[Category]],operations[[Month]:[Month]],summary1[[#Headers],[1]])</f>
        <v>-80</v>
      </c>
      <c r="D3" s="7" cm="1">
        <f t="array" ref="D3">SUMIFS(operations[[Amount]:[Amount]],operations[[Category]:[Category]],summary1[[#This Row],[Category]:[Category]],operations[[Month]:[Month]],summary1[[#Headers],[2]])</f>
        <v>0</v>
      </c>
      <c r="E3" s="7" cm="1">
        <f t="array" ref="E3">SUMIFS(operations[[Amount]:[Amount]],operations[[Category]:[Category]],summary1[[#This Row],[Category]:[Category]],operations[[Month]:[Month]],summary1[[#Headers],[3]])</f>
        <v>-469.9</v>
      </c>
      <c r="F3" s="7" cm="1">
        <f t="array" ref="F3">SUMIFS(operations[[Amount]:[Amount]],operations[[Category]:[Category]],summary1[[#This Row],[Category]:[Category]],operations[[Month]:[Month]],summary1[[#Headers],[4]])</f>
        <v>-149</v>
      </c>
      <c r="G3" s="7" cm="1">
        <f t="array" ref="G3">SUMIFS(operations[[Amount]:[Amount]],operations[[Category]:[Category]],summary1[[#This Row],[Category]:[Category]],operations[[Month]:[Month]],summary1[[#Headers],[5]])</f>
        <v>0</v>
      </c>
      <c r="H3" s="7" cm="1">
        <f t="array" ref="H3">SUMIFS(operations[[Amount]:[Amount]],operations[[Category]:[Category]],summary1[[#This Row],[Category]:[Category]],operations[[Month]:[Month]],summary1[[#Headers],[6]])</f>
        <v>-300</v>
      </c>
      <c r="I3" s="7" cm="1">
        <f t="array" ref="I3">SUMIFS(operations[[Amount]:[Amount]],operations[[Category]:[Category]],summary1[[#This Row],[Category]:[Category]],operations[[Month]:[Month]],summary1[[#Headers],[7]])</f>
        <v>250</v>
      </c>
      <c r="J3" s="7" cm="1">
        <f t="array" ref="J3">SUMIFS(operations[[Amount]:[Amount]],operations[[Category]:[Category]],summary1[[#This Row],[Category]:[Category]],operations[[Month]:[Month]],summary1[[#Headers],[8]])</f>
        <v>-300</v>
      </c>
      <c r="K3" s="7" cm="1">
        <f t="array" ref="K3">SUMIFS(operations[[Amount]:[Amount]],operations[[Category]:[Category]],summary1[[#This Row],[Category]:[Category]],operations[[Month]:[Month]],summary1[[#Headers],[9]])</f>
        <v>0</v>
      </c>
      <c r="L3" s="7" cm="1">
        <f t="array" ref="L3">SUMIFS(operations[[Amount]:[Amount]],operations[[Category]:[Category]],summary1[[#This Row],[Category]:[Category]],operations[[Month]:[Month]],summary1[[#Headers],[10]])</f>
        <v>0</v>
      </c>
      <c r="M3" s="7" cm="1">
        <f t="array" ref="M3">SUMIFS(operations[[Amount]:[Amount]],operations[[Category]:[Category]],summary1[[#This Row],[Category]:[Category]],operations[[Month]:[Month]],summary1[[#Headers],[11]])</f>
        <v>-158</v>
      </c>
      <c r="N3" s="7" cm="1">
        <f t="array" ref="N3">SUMIFS(operations[[Amount]:[Amount]],operations[[Category]:[Category]],summary1[[#This Row],[Category]:[Category]],operations[[Month]:[Month]],summary1[[#Headers],[12]])</f>
        <v>-120</v>
      </c>
      <c r="O3" s="7">
        <f>SUM(summary1[[#This Row],[1]:[12]])</f>
        <v>-1326.9</v>
      </c>
    </row>
    <row r="4" spans="1:15" x14ac:dyDescent="0.25">
      <c r="A4" t="s">
        <v>20</v>
      </c>
      <c r="B4" t="s">
        <v>32</v>
      </c>
      <c r="C4" s="7" cm="1">
        <f t="array" ref="C4">SUMIFS(operations[[Amount]:[Amount]],operations[[Category]:[Category]],summary1[[#This Row],[Category]:[Category]],operations[[Month]:[Month]],summary1[[#Headers],[1]])</f>
        <v>-85</v>
      </c>
      <c r="D4" s="7" cm="1">
        <f t="array" ref="D4">SUMIFS(operations[[Amount]:[Amount]],operations[[Category]:[Category]],summary1[[#This Row],[Category]:[Category]],operations[[Month]:[Month]],summary1[[#Headers],[2]])</f>
        <v>-350</v>
      </c>
      <c r="E4" s="7" cm="1">
        <f t="array" ref="E4">SUMIFS(operations[[Amount]:[Amount]],operations[[Category]:[Category]],summary1[[#This Row],[Category]:[Category]],operations[[Month]:[Month]],summary1[[#Headers],[3]])</f>
        <v>-200</v>
      </c>
      <c r="F4" s="7" cm="1">
        <f t="array" ref="F4">SUMIFS(operations[[Amount]:[Amount]],operations[[Category]:[Category]],summary1[[#This Row],[Category]:[Category]],operations[[Month]:[Month]],summary1[[#Headers],[4]])</f>
        <v>-1057.9000000000001</v>
      </c>
      <c r="G4" s="7" cm="1">
        <f t="array" ref="G4">SUMIFS(operations[[Amount]:[Amount]],operations[[Category]:[Category]],summary1[[#This Row],[Category]:[Category]],operations[[Month]:[Month]],summary1[[#Headers],[5]])</f>
        <v>-80</v>
      </c>
      <c r="H4" s="7" cm="1">
        <f t="array" ref="H4">SUMIFS(operations[[Amount]:[Amount]],operations[[Category]:[Category]],summary1[[#This Row],[Category]:[Category]],operations[[Month]:[Month]],summary1[[#Headers],[6]])</f>
        <v>-200</v>
      </c>
      <c r="I4" s="7" cm="1">
        <f t="array" ref="I4">SUMIFS(operations[[Amount]:[Amount]],operations[[Category]:[Category]],summary1[[#This Row],[Category]:[Category]],operations[[Month]:[Month]],summary1[[#Headers],[7]])</f>
        <v>-700</v>
      </c>
      <c r="J4" s="7" cm="1">
        <f t="array" ref="J4">SUMIFS(operations[[Amount]:[Amount]],operations[[Category]:[Category]],summary1[[#This Row],[Category]:[Category]],operations[[Month]:[Month]],summary1[[#Headers],[8]])</f>
        <v>-250</v>
      </c>
      <c r="K4" s="7" cm="1">
        <f t="array" ref="K4">SUMIFS(operations[[Amount]:[Amount]],operations[[Category]:[Category]],summary1[[#This Row],[Category]:[Category]],operations[[Month]:[Month]],summary1[[#Headers],[9]])</f>
        <v>-20</v>
      </c>
      <c r="L4" s="7" cm="1">
        <f t="array" ref="L4">SUMIFS(operations[[Amount]:[Amount]],operations[[Category]:[Category]],summary1[[#This Row],[Category]:[Category]],operations[[Month]:[Month]],summary1[[#Headers],[10]])</f>
        <v>-40</v>
      </c>
      <c r="M4" s="7" cm="1">
        <f t="array" ref="M4">SUMIFS(operations[[Amount]:[Amount]],operations[[Category]:[Category]],summary1[[#This Row],[Category]:[Category]],operations[[Month]:[Month]],summary1[[#Headers],[11]])</f>
        <v>-214</v>
      </c>
      <c r="N4" s="7" cm="1">
        <f t="array" ref="N4">SUMIFS(operations[[Amount]:[Amount]],operations[[Category]:[Category]],summary1[[#This Row],[Category]:[Category]],operations[[Month]:[Month]],summary1[[#Headers],[12]])</f>
        <v>-450</v>
      </c>
      <c r="O4" s="7">
        <f>SUM(summary1[[#This Row],[1]:[12]])</f>
        <v>-3646.9</v>
      </c>
    </row>
    <row r="5" spans="1:15" x14ac:dyDescent="0.25">
      <c r="A5" t="s">
        <v>17</v>
      </c>
      <c r="B5" t="s">
        <v>32</v>
      </c>
      <c r="C5" s="7" cm="1">
        <f t="array" ref="C5">SUMIFS(operations[[Amount]:[Amount]],operations[[Category]:[Category]],summary1[[#This Row],[Category]:[Category]],operations[[Month]:[Month]],summary1[[#Headers],[1]])</f>
        <v>-1715</v>
      </c>
      <c r="D5" s="7" cm="1">
        <f t="array" ref="D5">SUMIFS(operations[[Amount]:[Amount]],operations[[Category]:[Category]],summary1[[#This Row],[Category]:[Category]],operations[[Month]:[Month]],summary1[[#Headers],[2]])</f>
        <v>-405.5</v>
      </c>
      <c r="E5" s="7" cm="1">
        <f t="array" ref="E5">SUMIFS(operations[[Amount]:[Amount]],operations[[Category]:[Category]],summary1[[#This Row],[Category]:[Category]],operations[[Month]:[Month]],summary1[[#Headers],[3]])</f>
        <v>-734.99</v>
      </c>
      <c r="F5" s="7" cm="1">
        <f t="array" ref="F5">SUMIFS(operations[[Amount]:[Amount]],operations[[Category]:[Category]],summary1[[#This Row],[Category]:[Category]],operations[[Month]:[Month]],summary1[[#Headers],[4]])</f>
        <v>-372.26</v>
      </c>
      <c r="G5" s="7" cm="1">
        <f t="array" ref="G5">SUMIFS(operations[[Amount]:[Amount]],operations[[Category]:[Category]],summary1[[#This Row],[Category]:[Category]],operations[[Month]:[Month]],summary1[[#Headers],[5]])</f>
        <v>-1000</v>
      </c>
      <c r="H5" s="7" cm="1">
        <f t="array" ref="H5">SUMIFS(operations[[Amount]:[Amount]],operations[[Category]:[Category]],summary1[[#This Row],[Category]:[Category]],operations[[Month]:[Month]],summary1[[#Headers],[6]])</f>
        <v>-1000</v>
      </c>
      <c r="I5" s="7" cm="1">
        <f t="array" ref="I5">SUMIFS(operations[[Amount]:[Amount]],operations[[Category]:[Category]],summary1[[#This Row],[Category]:[Category]],operations[[Month]:[Month]],summary1[[#Headers],[7]])</f>
        <v>-165</v>
      </c>
      <c r="J5" s="7" cm="1">
        <f t="array" ref="J5">SUMIFS(operations[[Amount]:[Amount]],operations[[Category]:[Category]],summary1[[#This Row],[Category]:[Category]],operations[[Month]:[Month]],summary1[[#Headers],[8]])</f>
        <v>-749.5</v>
      </c>
      <c r="K5" s="7" cm="1">
        <f t="array" ref="K5">SUMIFS(operations[[Amount]:[Amount]],operations[[Category]:[Category]],summary1[[#This Row],[Category]:[Category]],operations[[Month]:[Month]],summary1[[#Headers],[9]])</f>
        <v>-538.5</v>
      </c>
      <c r="L5" s="7" cm="1">
        <f t="array" ref="L5">SUMIFS(operations[[Amount]:[Amount]],operations[[Category]:[Category]],summary1[[#This Row],[Category]:[Category]],operations[[Month]:[Month]],summary1[[#Headers],[10]])</f>
        <v>-600</v>
      </c>
      <c r="M5" s="7" cm="1">
        <f t="array" ref="M5">SUMIFS(operations[[Amount]:[Amount]],operations[[Category]:[Category]],summary1[[#This Row],[Category]:[Category]],operations[[Month]:[Month]],summary1[[#Headers],[11]])</f>
        <v>-506</v>
      </c>
      <c r="N5" s="7" cm="1">
        <f t="array" ref="N5">SUMIFS(operations[[Amount]:[Amount]],operations[[Category]:[Category]],summary1[[#This Row],[Category]:[Category]],operations[[Month]:[Month]],summary1[[#Headers],[12]])</f>
        <v>-700</v>
      </c>
      <c r="O5" s="7">
        <f>SUM(summary1[[#This Row],[1]:[12]])</f>
        <v>-8486.75</v>
      </c>
    </row>
    <row r="6" spans="1:15" x14ac:dyDescent="0.25">
      <c r="A6" t="s">
        <v>21</v>
      </c>
      <c r="B6" t="s">
        <v>32</v>
      </c>
      <c r="C6" s="7" cm="1">
        <f t="array" ref="C6">SUMIFS(operations[[Amount]:[Amount]],operations[[Category]:[Category]],summary1[[#This Row],[Category]:[Category]],operations[[Month]:[Month]],summary1[[#Headers],[1]])</f>
        <v>-100</v>
      </c>
      <c r="D6" s="7" cm="1">
        <f t="array" ref="D6">SUMIFS(operations[[Amount]:[Amount]],operations[[Category]:[Category]],summary1[[#This Row],[Category]:[Category]],operations[[Month]:[Month]],summary1[[#Headers],[2]])</f>
        <v>-250</v>
      </c>
      <c r="E6" s="7" cm="1">
        <f t="array" ref="E6">SUMIFS(operations[[Amount]:[Amount]],operations[[Category]:[Category]],summary1[[#This Row],[Category]:[Category]],operations[[Month]:[Month]],summary1[[#Headers],[3]])</f>
        <v>-9.5</v>
      </c>
      <c r="F6" s="7" cm="1">
        <f t="array" ref="F6">SUMIFS(operations[[Amount]:[Amount]],operations[[Category]:[Category]],summary1[[#This Row],[Category]:[Category]],operations[[Month]:[Month]],summary1[[#Headers],[4]])</f>
        <v>-23.5</v>
      </c>
      <c r="G6" s="7" cm="1">
        <f t="array" ref="G6">SUMIFS(operations[[Amount]:[Amount]],operations[[Category]:[Category]],summary1[[#This Row],[Category]:[Category]],operations[[Month]:[Month]],summary1[[#Headers],[5]])</f>
        <v>0</v>
      </c>
      <c r="H6" s="7" cm="1">
        <f t="array" ref="H6">SUMIFS(operations[[Amount]:[Amount]],operations[[Category]:[Category]],summary1[[#This Row],[Category]:[Category]],operations[[Month]:[Month]],summary1[[#Headers],[6]])</f>
        <v>-100</v>
      </c>
      <c r="I6" s="7" cm="1">
        <f t="array" ref="I6">SUMIFS(operations[[Amount]:[Amount]],operations[[Category]:[Category]],summary1[[#This Row],[Category]:[Category]],operations[[Month]:[Month]],summary1[[#Headers],[7]])</f>
        <v>-300</v>
      </c>
      <c r="J6" s="7" cm="1">
        <f t="array" ref="J6">SUMIFS(operations[[Amount]:[Amount]],operations[[Category]:[Category]],summary1[[#This Row],[Category]:[Category]],operations[[Month]:[Month]],summary1[[#Headers],[8]])</f>
        <v>-400</v>
      </c>
      <c r="K6" s="7" cm="1">
        <f t="array" ref="K6">SUMIFS(operations[[Amount]:[Amount]],operations[[Category]:[Category]],summary1[[#This Row],[Category]:[Category]],operations[[Month]:[Month]],summary1[[#Headers],[9]])</f>
        <v>0</v>
      </c>
      <c r="L6" s="7" cm="1">
        <f t="array" ref="L6">SUMIFS(operations[[Amount]:[Amount]],operations[[Category]:[Category]],summary1[[#This Row],[Category]:[Category]],operations[[Month]:[Month]],summary1[[#Headers],[10]])</f>
        <v>0</v>
      </c>
      <c r="M6" s="7" cm="1">
        <f t="array" ref="M6">SUMIFS(operations[[Amount]:[Amount]],operations[[Category]:[Category]],summary1[[#This Row],[Category]:[Category]],operations[[Month]:[Month]],summary1[[#Headers],[11]])</f>
        <v>-133</v>
      </c>
      <c r="N6" s="7" cm="1">
        <f t="array" ref="N6">SUMIFS(operations[[Amount]:[Amount]],operations[[Category]:[Category]],summary1[[#This Row],[Category]:[Category]],operations[[Month]:[Month]],summary1[[#Headers],[12]])</f>
        <v>-10</v>
      </c>
      <c r="O6" s="7">
        <f>SUM(summary1[[#This Row],[1]:[12]])</f>
        <v>-1326</v>
      </c>
    </row>
    <row r="7" spans="1:15" x14ac:dyDescent="0.25">
      <c r="A7" t="s">
        <v>19</v>
      </c>
      <c r="B7" t="s">
        <v>32</v>
      </c>
      <c r="C7" s="7" cm="1">
        <f t="array" ref="C7">SUMIFS(operations[[Amount]:[Amount]],operations[[Category]:[Category]],summary1[[#This Row],[Category]:[Category]],operations[[Month]:[Month]],summary1[[#Headers],[1]])</f>
        <v>-150</v>
      </c>
      <c r="D7" s="7" cm="1">
        <f t="array" ref="D7">SUMIFS(operations[[Amount]:[Amount]],operations[[Category]:[Category]],summary1[[#This Row],[Category]:[Category]],operations[[Month]:[Month]],summary1[[#Headers],[2]])</f>
        <v>-150</v>
      </c>
      <c r="E7" s="7" cm="1">
        <f t="array" ref="E7">SUMIFS(operations[[Amount]:[Amount]],operations[[Category]:[Category]],summary1[[#This Row],[Category]:[Category]],operations[[Month]:[Month]],summary1[[#Headers],[3]])</f>
        <v>-23</v>
      </c>
      <c r="F7" s="7" cm="1">
        <f t="array" ref="F7">SUMIFS(operations[[Amount]:[Amount]],operations[[Category]:[Category]],summary1[[#This Row],[Category]:[Category]],operations[[Month]:[Month]],summary1[[#Headers],[4]])</f>
        <v>-49</v>
      </c>
      <c r="G7" s="7" cm="1">
        <f t="array" ref="G7">SUMIFS(operations[[Amount]:[Amount]],operations[[Category]:[Category]],summary1[[#This Row],[Category]:[Category]],operations[[Month]:[Month]],summary1[[#Headers],[5]])</f>
        <v>-50</v>
      </c>
      <c r="H7" s="7" cm="1">
        <f t="array" ref="H7">SUMIFS(operations[[Amount]:[Amount]],operations[[Category]:[Category]],summary1[[#This Row],[Category]:[Category]],operations[[Month]:[Month]],summary1[[#Headers],[6]])</f>
        <v>-50</v>
      </c>
      <c r="I7" s="7" cm="1">
        <f t="array" ref="I7">SUMIFS(operations[[Amount]:[Amount]],operations[[Category]:[Category]],summary1[[#This Row],[Category]:[Category]],operations[[Month]:[Month]],summary1[[#Headers],[7]])</f>
        <v>0</v>
      </c>
      <c r="J7" s="7" cm="1">
        <f t="array" ref="J7">SUMIFS(operations[[Amount]:[Amount]],operations[[Category]:[Category]],summary1[[#This Row],[Category]:[Category]],operations[[Month]:[Month]],summary1[[#Headers],[8]])</f>
        <v>0</v>
      </c>
      <c r="K7" s="7" cm="1">
        <f t="array" ref="K7">SUMIFS(operations[[Amount]:[Amount]],operations[[Category]:[Category]],summary1[[#This Row],[Category]:[Category]],operations[[Month]:[Month]],summary1[[#Headers],[9]])</f>
        <v>-40</v>
      </c>
      <c r="L7" s="7" cm="1">
        <f t="array" ref="L7">SUMIFS(operations[[Amount]:[Amount]],operations[[Category]:[Category]],summary1[[#This Row],[Category]:[Category]],operations[[Month]:[Month]],summary1[[#Headers],[10]])</f>
        <v>-40</v>
      </c>
      <c r="M7" s="7" cm="1">
        <f t="array" ref="M7">SUMIFS(operations[[Amount]:[Amount]],operations[[Category]:[Category]],summary1[[#This Row],[Category]:[Category]],operations[[Month]:[Month]],summary1[[#Headers],[11]])</f>
        <v>-47</v>
      </c>
      <c r="N7" s="7" cm="1">
        <f t="array" ref="N7">SUMIFS(operations[[Amount]:[Amount]],operations[[Category]:[Category]],summary1[[#This Row],[Category]:[Category]],operations[[Month]:[Month]],summary1[[#Headers],[12]])</f>
        <v>0</v>
      </c>
      <c r="O7" s="7">
        <f>SUM(summary1[[#This Row],[1]:[12]])</f>
        <v>-599</v>
      </c>
    </row>
    <row r="8" spans="1:15" x14ac:dyDescent="0.25">
      <c r="A8" t="s">
        <v>24</v>
      </c>
      <c r="B8" t="s">
        <v>32</v>
      </c>
      <c r="C8" s="7" cm="1">
        <f t="array" ref="C8">SUMIFS(operations[[Amount]:[Amount]],operations[[Category]:[Category]],summary1[[#This Row],[Category]:[Category]],operations[[Month]:[Month]],summary1[[#Headers],[1]])</f>
        <v>-500</v>
      </c>
      <c r="D8" s="7" cm="1">
        <f t="array" ref="D8">SUMIFS(operations[[Amount]:[Amount]],operations[[Category]:[Category]],summary1[[#This Row],[Category]:[Category]],operations[[Month]:[Month]],summary1[[#Headers],[2]])</f>
        <v>-765</v>
      </c>
      <c r="E8" s="7" cm="1">
        <f t="array" ref="E8">SUMIFS(operations[[Amount]:[Amount]],operations[[Category]:[Category]],summary1[[#This Row],[Category]:[Category]],operations[[Month]:[Month]],summary1[[#Headers],[3]])</f>
        <v>-300</v>
      </c>
      <c r="F8" s="7" cm="1">
        <f t="array" ref="F8">SUMIFS(operations[[Amount]:[Amount]],operations[[Category]:[Category]],summary1[[#This Row],[Category]:[Category]],operations[[Month]:[Month]],summary1[[#Headers],[4]])</f>
        <v>-100</v>
      </c>
      <c r="G8" s="7" cm="1">
        <f t="array" ref="G8">SUMIFS(operations[[Amount]:[Amount]],operations[[Category]:[Category]],summary1[[#This Row],[Category]:[Category]],operations[[Month]:[Month]],summary1[[#Headers],[5]])</f>
        <v>0</v>
      </c>
      <c r="H8" s="7" cm="1">
        <f t="array" ref="H8">SUMIFS(operations[[Amount]:[Amount]],operations[[Category]:[Category]],summary1[[#This Row],[Category]:[Category]],operations[[Month]:[Month]],summary1[[#Headers],[6]])</f>
        <v>0</v>
      </c>
      <c r="I8" s="7" cm="1">
        <f t="array" ref="I8">SUMIFS(operations[[Amount]:[Amount]],operations[[Category]:[Category]],summary1[[#This Row],[Category]:[Category]],operations[[Month]:[Month]],summary1[[#Headers],[7]])</f>
        <v>0</v>
      </c>
      <c r="J8" s="7" cm="1">
        <f t="array" ref="J8">SUMIFS(operations[[Amount]:[Amount]],operations[[Category]:[Category]],summary1[[#This Row],[Category]:[Category]],operations[[Month]:[Month]],summary1[[#Headers],[8]])</f>
        <v>0</v>
      </c>
      <c r="K8" s="7" cm="1">
        <f t="array" ref="K8">SUMIFS(operations[[Amount]:[Amount]],operations[[Category]:[Category]],summary1[[#This Row],[Category]:[Category]],operations[[Month]:[Month]],summary1[[#Headers],[9]])</f>
        <v>0</v>
      </c>
      <c r="L8" s="7" cm="1">
        <f t="array" ref="L8">SUMIFS(operations[[Amount]:[Amount]],operations[[Category]:[Category]],summary1[[#This Row],[Category]:[Category]],operations[[Month]:[Month]],summary1[[#Headers],[10]])</f>
        <v>0</v>
      </c>
      <c r="M8" s="7" cm="1">
        <f t="array" ref="M8">SUMIFS(operations[[Amount]:[Amount]],operations[[Category]:[Category]],summary1[[#This Row],[Category]:[Category]],operations[[Month]:[Month]],summary1[[#Headers],[11]])</f>
        <v>-234</v>
      </c>
      <c r="N8" s="7" cm="1">
        <f t="array" ref="N8">SUMIFS(operations[[Amount]:[Amount]],operations[[Category]:[Category]],summary1[[#This Row],[Category]:[Category]],operations[[Month]:[Month]],summary1[[#Headers],[12]])</f>
        <v>-700</v>
      </c>
      <c r="O8" s="7">
        <f>SUM(summary1[[#This Row],[1]:[12]])</f>
        <v>-2599</v>
      </c>
    </row>
    <row r="9" spans="1:15" x14ac:dyDescent="0.25">
      <c r="A9" t="s">
        <v>23</v>
      </c>
      <c r="B9" t="s">
        <v>32</v>
      </c>
      <c r="C9" s="7" cm="1">
        <f t="array" ref="C9">SUMIFS(operations[[Amount]:[Amount]],operations[[Category]:[Category]],summary1[[#This Row],[Category]:[Category]],operations[[Month]:[Month]],summary1[[#Headers],[1]])</f>
        <v>-100</v>
      </c>
      <c r="D9" s="7" cm="1">
        <f t="array" ref="D9">SUMIFS(operations[[Amount]:[Amount]],operations[[Category]:[Category]],summary1[[#This Row],[Category]:[Category]],operations[[Month]:[Month]],summary1[[#Headers],[2]])</f>
        <v>-100</v>
      </c>
      <c r="E9" s="7" cm="1">
        <f t="array" ref="E9">SUMIFS(operations[[Amount]:[Amount]],operations[[Category]:[Category]],summary1[[#This Row],[Category]:[Category]],operations[[Month]:[Month]],summary1[[#Headers],[3]])</f>
        <v>-79.5</v>
      </c>
      <c r="F9" s="7" cm="1">
        <f t="array" ref="F9">SUMIFS(operations[[Amount]:[Amount]],operations[[Category]:[Category]],summary1[[#This Row],[Category]:[Category]],operations[[Month]:[Month]],summary1[[#Headers],[4]])</f>
        <v>-139</v>
      </c>
      <c r="G9" s="7" cm="1">
        <f t="array" ref="G9">SUMIFS(operations[[Amount]:[Amount]],operations[[Category]:[Category]],summary1[[#This Row],[Category]:[Category]],operations[[Month]:[Month]],summary1[[#Headers],[5]])</f>
        <v>0</v>
      </c>
      <c r="H9" s="7" cm="1">
        <f t="array" ref="H9">SUMIFS(operations[[Amount]:[Amount]],operations[[Category]:[Category]],summary1[[#This Row],[Category]:[Category]],operations[[Month]:[Month]],summary1[[#Headers],[6]])</f>
        <v>0</v>
      </c>
      <c r="I9" s="7" cm="1">
        <f t="array" ref="I9">SUMIFS(operations[[Amount]:[Amount]],operations[[Category]:[Category]],summary1[[#This Row],[Category]:[Category]],operations[[Month]:[Month]],summary1[[#Headers],[7]])</f>
        <v>0</v>
      </c>
      <c r="J9" s="7" cm="1">
        <f t="array" ref="J9">SUMIFS(operations[[Amount]:[Amount]],operations[[Category]:[Category]],summary1[[#This Row],[Category]:[Category]],operations[[Month]:[Month]],summary1[[#Headers],[8]])</f>
        <v>0</v>
      </c>
      <c r="K9" s="7" cm="1">
        <f t="array" ref="K9">SUMIFS(operations[[Amount]:[Amount]],operations[[Category]:[Category]],summary1[[#This Row],[Category]:[Category]],operations[[Month]:[Month]],summary1[[#Headers],[9]])</f>
        <v>0</v>
      </c>
      <c r="L9" s="7" cm="1">
        <f t="array" ref="L9">SUMIFS(operations[[Amount]:[Amount]],operations[[Category]:[Category]],summary1[[#This Row],[Category]:[Category]],operations[[Month]:[Month]],summary1[[#Headers],[10]])</f>
        <v>0</v>
      </c>
      <c r="M9" s="7" cm="1">
        <f t="array" ref="M9">SUMIFS(operations[[Amount]:[Amount]],operations[[Category]:[Category]],summary1[[#This Row],[Category]:[Category]],operations[[Month]:[Month]],summary1[[#Headers],[11]])</f>
        <v>0</v>
      </c>
      <c r="N9" s="7" cm="1">
        <f t="array" ref="N9">SUMIFS(operations[[Amount]:[Amount]],operations[[Category]:[Category]],summary1[[#This Row],[Category]:[Category]],operations[[Month]:[Month]],summary1[[#Headers],[12]])</f>
        <v>-100</v>
      </c>
      <c r="O9" s="7">
        <f>SUM(summary1[[#This Row],[1]:[12]])</f>
        <v>-518.5</v>
      </c>
    </row>
    <row r="10" spans="1:15" x14ac:dyDescent="0.25">
      <c r="A10" t="s">
        <v>16</v>
      </c>
      <c r="B10" t="s">
        <v>32</v>
      </c>
      <c r="C10" s="7" cm="1">
        <f t="array" ref="C10">SUMIFS(operations[[Amount]:[Amount]],operations[[Category]:[Category]],summary1[[#This Row],[Category]:[Category]],operations[[Month]:[Month]],summary1[[#Headers],[1]])</f>
        <v>-80</v>
      </c>
      <c r="D10" s="7" cm="1">
        <f t="array" ref="D10">SUMIFS(operations[[Amount]:[Amount]],operations[[Category]:[Category]],summary1[[#This Row],[Category]:[Category]],operations[[Month]:[Month]],summary1[[#Headers],[2]])</f>
        <v>-80</v>
      </c>
      <c r="E10" s="7" cm="1">
        <f t="array" ref="E10">SUMIFS(operations[[Amount]:[Amount]],operations[[Category]:[Category]],summary1[[#This Row],[Category]:[Category]],operations[[Month]:[Month]],summary1[[#Headers],[3]])</f>
        <v>-82.5</v>
      </c>
      <c r="F10" s="7" cm="1">
        <f t="array" ref="F10">SUMIFS(operations[[Amount]:[Amount]],operations[[Category]:[Category]],summary1[[#This Row],[Category]:[Category]],operations[[Month]:[Month]],summary1[[#Headers],[4]])</f>
        <v>-82.5</v>
      </c>
      <c r="G10" s="7" cm="1">
        <f t="array" ref="G10">SUMIFS(operations[[Amount]:[Amount]],operations[[Category]:[Category]],summary1[[#This Row],[Category]:[Category]],operations[[Month]:[Month]],summary1[[#Headers],[5]])</f>
        <v>-80</v>
      </c>
      <c r="H10" s="7" cm="1">
        <f t="array" ref="H10">SUMIFS(operations[[Amount]:[Amount]],operations[[Category]:[Category]],summary1[[#This Row],[Category]:[Category]],operations[[Month]:[Month]],summary1[[#Headers],[6]])</f>
        <v>-80</v>
      </c>
      <c r="I10" s="7" cm="1">
        <f t="array" ref="I10">SUMIFS(operations[[Amount]:[Amount]],operations[[Category]:[Category]],summary1[[#This Row],[Category]:[Category]],operations[[Month]:[Month]],summary1[[#Headers],[7]])</f>
        <v>-90</v>
      </c>
      <c r="J10" s="7" cm="1">
        <f t="array" ref="J10">SUMIFS(operations[[Amount]:[Amount]],operations[[Category]:[Category]],summary1[[#This Row],[Category]:[Category]],operations[[Month]:[Month]],summary1[[#Headers],[8]])</f>
        <v>-290</v>
      </c>
      <c r="K10" s="7" cm="1">
        <f t="array" ref="K10">SUMIFS(operations[[Amount]:[Amount]],operations[[Category]:[Category]],summary1[[#This Row],[Category]:[Category]],operations[[Month]:[Month]],summary1[[#Headers],[9]])</f>
        <v>-150</v>
      </c>
      <c r="L10" s="7" cm="1">
        <f t="array" ref="L10">SUMIFS(operations[[Amount]:[Amount]],operations[[Category]:[Category]],summary1[[#This Row],[Category]:[Category]],operations[[Month]:[Month]],summary1[[#Headers],[10]])</f>
        <v>-150</v>
      </c>
      <c r="M10" s="7" cm="1">
        <f t="array" ref="M10">SUMIFS(operations[[Amount]:[Amount]],operations[[Category]:[Category]],summary1[[#This Row],[Category]:[Category]],operations[[Month]:[Month]],summary1[[#Headers],[11]])</f>
        <v>-208</v>
      </c>
      <c r="N10" s="7" cm="1">
        <f t="array" ref="N10">SUMIFS(operations[[Amount]:[Amount]],operations[[Category]:[Category]],summary1[[#This Row],[Category]:[Category]],operations[[Month]:[Month]],summary1[[#Headers],[12]])</f>
        <v>0</v>
      </c>
      <c r="O10" s="7">
        <f>SUM(summary1[[#This Row],[1]:[12]])</f>
        <v>-1373</v>
      </c>
    </row>
    <row r="11" spans="1:15" x14ac:dyDescent="0.25">
      <c r="A11" t="s">
        <v>25</v>
      </c>
      <c r="B11" t="s">
        <v>33</v>
      </c>
      <c r="C11" s="7" cm="1">
        <f t="array" ref="C11">SUMIFS(operations[[Amount]:[Amount]],operations[[Category]:[Category]],summary1[[#This Row],[Category]:[Category]],operations[[Month]:[Month]],summary1[[#Headers],[1]])</f>
        <v>250</v>
      </c>
      <c r="D11" s="7" cm="1">
        <f t="array" ref="D11">SUMIFS(operations[[Amount]:[Amount]],operations[[Category]:[Category]],summary1[[#This Row],[Category]:[Category]],operations[[Month]:[Month]],summary1[[#Headers],[2]])</f>
        <v>0</v>
      </c>
      <c r="E11" s="7" cm="1">
        <f t="array" ref="E11">SUMIFS(operations[[Amount]:[Amount]],operations[[Category]:[Category]],summary1[[#This Row],[Category]:[Category]],operations[[Month]:[Month]],summary1[[#Headers],[3]])</f>
        <v>0</v>
      </c>
      <c r="F11" s="7" cm="1">
        <f t="array" ref="F11">SUMIFS(operations[[Amount]:[Amount]],operations[[Category]:[Category]],summary1[[#This Row],[Category]:[Category]],operations[[Month]:[Month]],summary1[[#Headers],[4]])</f>
        <v>0</v>
      </c>
      <c r="G11" s="7" cm="1">
        <f t="array" ref="G11">SUMIFS(operations[[Amount]:[Amount]],operations[[Category]:[Category]],summary1[[#This Row],[Category]:[Category]],operations[[Month]:[Month]],summary1[[#Headers],[5]])</f>
        <v>0</v>
      </c>
      <c r="H11" s="7" cm="1">
        <f t="array" ref="H11">SUMIFS(operations[[Amount]:[Amount]],operations[[Category]:[Category]],summary1[[#This Row],[Category]:[Category]],operations[[Month]:[Month]],summary1[[#Headers],[6]])</f>
        <v>400</v>
      </c>
      <c r="I11" s="7" cm="1">
        <f t="array" ref="I11">SUMIFS(operations[[Amount]:[Amount]],operations[[Category]:[Category]],summary1[[#This Row],[Category]:[Category]],operations[[Month]:[Month]],summary1[[#Headers],[7]])</f>
        <v>0</v>
      </c>
      <c r="J11" s="7" cm="1">
        <f t="array" ref="J11">SUMIFS(operations[[Amount]:[Amount]],operations[[Category]:[Category]],summary1[[#This Row],[Category]:[Category]],operations[[Month]:[Month]],summary1[[#Headers],[8]])</f>
        <v>0</v>
      </c>
      <c r="K11" s="7" cm="1">
        <f t="array" ref="K11">SUMIFS(operations[[Amount]:[Amount]],operations[[Category]:[Category]],summary1[[#This Row],[Category]:[Category]],operations[[Month]:[Month]],summary1[[#Headers],[9]])</f>
        <v>0</v>
      </c>
      <c r="L11" s="7" cm="1">
        <f t="array" ref="L11">SUMIFS(operations[[Amount]:[Amount]],operations[[Category]:[Category]],summary1[[#This Row],[Category]:[Category]],operations[[Month]:[Month]],summary1[[#Headers],[10]])</f>
        <v>0</v>
      </c>
      <c r="M11" s="7" cm="1">
        <f t="array" ref="M11">SUMIFS(operations[[Amount]:[Amount]],operations[[Category]:[Category]],summary1[[#This Row],[Category]:[Category]],operations[[Month]:[Month]],summary1[[#Headers],[11]])</f>
        <v>0</v>
      </c>
      <c r="N11" s="7" cm="1">
        <f t="array" ref="N11">SUMIFS(operations[[Amount]:[Amount]],operations[[Category]:[Category]],summary1[[#This Row],[Category]:[Category]],operations[[Month]:[Month]],summary1[[#Headers],[12]])</f>
        <v>0</v>
      </c>
      <c r="O11" s="7">
        <f>SUM(summary1[[#This Row],[1]:[12]])</f>
        <v>650</v>
      </c>
    </row>
    <row r="12" spans="1:15" x14ac:dyDescent="0.25">
      <c r="A12" t="s">
        <v>28</v>
      </c>
      <c r="B12" t="s">
        <v>33</v>
      </c>
      <c r="C12" s="7" cm="1">
        <f t="array" ref="C12">SUMIFS(operations[[Amount]:[Amount]],operations[[Category]:[Category]],summary1[[#This Row],[Category]:[Category]],operations[[Month]:[Month]],summary1[[#Headers],[1]])</f>
        <v>105.5</v>
      </c>
      <c r="D12" s="7" cm="1">
        <f t="array" ref="D12">SUMIFS(operations[[Amount]:[Amount]],operations[[Category]:[Category]],summary1[[#This Row],[Category]:[Category]],operations[[Month]:[Month]],summary1[[#Headers],[2]])</f>
        <v>115</v>
      </c>
      <c r="E12" s="7" cm="1">
        <f t="array" ref="E12">SUMIFS(operations[[Amount]:[Amount]],operations[[Category]:[Category]],summary1[[#This Row],[Category]:[Category]],operations[[Month]:[Month]],summary1[[#Headers],[3]])</f>
        <v>150</v>
      </c>
      <c r="F12" s="7" cm="1">
        <f t="array" ref="F12">SUMIFS(operations[[Amount]:[Amount]],operations[[Category]:[Category]],summary1[[#This Row],[Category]:[Category]],operations[[Month]:[Month]],summary1[[#Headers],[4]])</f>
        <v>150</v>
      </c>
      <c r="G12" s="7" cm="1">
        <f t="array" ref="G12">SUMIFS(operations[[Amount]:[Amount]],operations[[Category]:[Category]],summary1[[#This Row],[Category]:[Category]],operations[[Month]:[Month]],summary1[[#Headers],[5]])</f>
        <v>0</v>
      </c>
      <c r="H12" s="7" cm="1">
        <f t="array" ref="H12">SUMIFS(operations[[Amount]:[Amount]],operations[[Category]:[Category]],summary1[[#This Row],[Category]:[Category]],operations[[Month]:[Month]],summary1[[#Headers],[6]])</f>
        <v>0</v>
      </c>
      <c r="I12" s="7" cm="1">
        <f t="array" ref="I12">SUMIFS(operations[[Amount]:[Amount]],operations[[Category]:[Category]],summary1[[#This Row],[Category]:[Category]],operations[[Month]:[Month]],summary1[[#Headers],[7]])</f>
        <v>120</v>
      </c>
      <c r="J12" s="7" cm="1">
        <f t="array" ref="J12">SUMIFS(operations[[Amount]:[Amount]],operations[[Category]:[Category]],summary1[[#This Row],[Category]:[Category]],operations[[Month]:[Month]],summary1[[#Headers],[8]])</f>
        <v>0</v>
      </c>
      <c r="K12" s="7" cm="1">
        <f t="array" ref="K12">SUMIFS(operations[[Amount]:[Amount]],operations[[Category]:[Category]],summary1[[#This Row],[Category]:[Category]],operations[[Month]:[Month]],summary1[[#Headers],[9]])</f>
        <v>0</v>
      </c>
      <c r="L12" s="7" cm="1">
        <f t="array" ref="L12">SUMIFS(operations[[Amount]:[Amount]],operations[[Category]:[Category]],summary1[[#This Row],[Category]:[Category]],operations[[Month]:[Month]],summary1[[#Headers],[10]])</f>
        <v>0</v>
      </c>
      <c r="M12" s="7" cm="1">
        <f t="array" ref="M12">SUMIFS(operations[[Amount]:[Amount]],operations[[Category]:[Category]],summary1[[#This Row],[Category]:[Category]],operations[[Month]:[Month]],summary1[[#Headers],[11]])</f>
        <v>0</v>
      </c>
      <c r="N12" s="7" cm="1">
        <f t="array" ref="N12">SUMIFS(operations[[Amount]:[Amount]],operations[[Category]:[Category]],summary1[[#This Row],[Category]:[Category]],operations[[Month]:[Month]],summary1[[#Headers],[12]])</f>
        <v>0</v>
      </c>
      <c r="O12" s="7">
        <f>SUM(summary1[[#This Row],[1]:[12]])</f>
        <v>640.5</v>
      </c>
    </row>
    <row r="13" spans="1:15" x14ac:dyDescent="0.25">
      <c r="A13" t="s">
        <v>29</v>
      </c>
      <c r="B13" t="s">
        <v>33</v>
      </c>
      <c r="C13" s="7" cm="1">
        <f t="array" ref="C13">SUMIFS(operations[[Amount]:[Amount]],operations[[Category]:[Category]],summary1[[#This Row],[Category]:[Category]],operations[[Month]:[Month]],summary1[[#Headers],[1]])</f>
        <v>0</v>
      </c>
      <c r="D13" s="7" cm="1">
        <f t="array" ref="D13">SUMIFS(operations[[Amount]:[Amount]],operations[[Category]:[Category]],summary1[[#This Row],[Category]:[Category]],operations[[Month]:[Month]],summary1[[#Headers],[2]])</f>
        <v>0</v>
      </c>
      <c r="E13" s="7" cm="1">
        <f t="array" ref="E13">SUMIFS(operations[[Amount]:[Amount]],operations[[Category]:[Category]],summary1[[#This Row],[Category]:[Category]],operations[[Month]:[Month]],summary1[[#Headers],[3]])</f>
        <v>5</v>
      </c>
      <c r="F13" s="7" cm="1">
        <f t="array" ref="F13">SUMIFS(operations[[Amount]:[Amount]],operations[[Category]:[Category]],summary1[[#This Row],[Category]:[Category]],operations[[Month]:[Month]],summary1[[#Headers],[4]])</f>
        <v>50</v>
      </c>
      <c r="G13" s="7" cm="1">
        <f t="array" ref="G13">SUMIFS(operations[[Amount]:[Amount]],operations[[Category]:[Category]],summary1[[#This Row],[Category]:[Category]],operations[[Month]:[Month]],summary1[[#Headers],[5]])</f>
        <v>0</v>
      </c>
      <c r="H13" s="7" cm="1">
        <f t="array" ref="H13">SUMIFS(operations[[Amount]:[Amount]],operations[[Category]:[Category]],summary1[[#This Row],[Category]:[Category]],operations[[Month]:[Month]],summary1[[#Headers],[6]])</f>
        <v>0</v>
      </c>
      <c r="I13" s="7" cm="1">
        <f t="array" ref="I13">SUMIFS(operations[[Amount]:[Amount]],operations[[Category]:[Category]],summary1[[#This Row],[Category]:[Category]],operations[[Month]:[Month]],summary1[[#Headers],[7]])</f>
        <v>800</v>
      </c>
      <c r="J13" s="7" cm="1">
        <f t="array" ref="J13">SUMIFS(operations[[Amount]:[Amount]],operations[[Category]:[Category]],summary1[[#This Row],[Category]:[Category]],operations[[Month]:[Month]],summary1[[#Headers],[8]])</f>
        <v>400</v>
      </c>
      <c r="K13" s="7" cm="1">
        <f t="array" ref="K13">SUMIFS(operations[[Amount]:[Amount]],operations[[Category]:[Category]],summary1[[#This Row],[Category]:[Category]],operations[[Month]:[Month]],summary1[[#Headers],[9]])</f>
        <v>0</v>
      </c>
      <c r="L13" s="7" cm="1">
        <f t="array" ref="L13">SUMIFS(operations[[Amount]:[Amount]],operations[[Category]:[Category]],summary1[[#This Row],[Category]:[Category]],operations[[Month]:[Month]],summary1[[#Headers],[10]])</f>
        <v>0</v>
      </c>
      <c r="M13" s="7" cm="1">
        <f t="array" ref="M13">SUMIFS(operations[[Amount]:[Amount]],operations[[Category]:[Category]],summary1[[#This Row],[Category]:[Category]],operations[[Month]:[Month]],summary1[[#Headers],[11]])</f>
        <v>400</v>
      </c>
      <c r="N13" s="7" cm="1">
        <f t="array" ref="N13">SUMIFS(operations[[Amount]:[Amount]],operations[[Category]:[Category]],summary1[[#This Row],[Category]:[Category]],operations[[Month]:[Month]],summary1[[#Headers],[12]])</f>
        <v>2000</v>
      </c>
      <c r="O13" s="7">
        <f>SUM(summary1[[#This Row],[1]:[12]])</f>
        <v>3655</v>
      </c>
    </row>
    <row r="14" spans="1:15" x14ac:dyDescent="0.25">
      <c r="A14" t="s">
        <v>30</v>
      </c>
      <c r="B14" t="s">
        <v>33</v>
      </c>
      <c r="C14" s="7" cm="1">
        <f t="array" ref="C14">SUMIFS(operations[[Amount]:[Amount]],operations[[Category]:[Category]],summary1[[#This Row],[Category]:[Category]],operations[[Month]:[Month]],summary1[[#Headers],[1]])</f>
        <v>800</v>
      </c>
      <c r="D14" s="7" cm="1">
        <f t="array" ref="D14">SUMIFS(operations[[Amount]:[Amount]],operations[[Category]:[Category]],summary1[[#This Row],[Category]:[Category]],operations[[Month]:[Month]],summary1[[#Headers],[2]])</f>
        <v>1950</v>
      </c>
      <c r="E14" s="7" cm="1">
        <f t="array" ref="E14">SUMIFS(operations[[Amount]:[Amount]],operations[[Category]:[Category]],summary1[[#This Row],[Category]:[Category]],operations[[Month]:[Month]],summary1[[#Headers],[3]])</f>
        <v>0</v>
      </c>
      <c r="F14" s="7" cm="1">
        <f t="array" ref="F14">SUMIFS(operations[[Amount]:[Amount]],operations[[Category]:[Category]],summary1[[#This Row],[Category]:[Category]],operations[[Month]:[Month]],summary1[[#Headers],[4]])</f>
        <v>0</v>
      </c>
      <c r="G14" s="7" cm="1">
        <f t="array" ref="G14">SUMIFS(operations[[Amount]:[Amount]],operations[[Category]:[Category]],summary1[[#This Row],[Category]:[Category]],operations[[Month]:[Month]],summary1[[#Headers],[5]])</f>
        <v>0</v>
      </c>
      <c r="H14" s="7" cm="1">
        <f t="array" ref="H14">SUMIFS(operations[[Amount]:[Amount]],operations[[Category]:[Category]],summary1[[#This Row],[Category]:[Category]],operations[[Month]:[Month]],summary1[[#Headers],[6]])</f>
        <v>0</v>
      </c>
      <c r="I14" s="7" cm="1">
        <f t="array" ref="I14">SUMIFS(operations[[Amount]:[Amount]],operations[[Category]:[Category]],summary1[[#This Row],[Category]:[Category]],operations[[Month]:[Month]],summary1[[#Headers],[7]])</f>
        <v>0</v>
      </c>
      <c r="J14" s="7" cm="1">
        <f t="array" ref="J14">SUMIFS(operations[[Amount]:[Amount]],operations[[Category]:[Category]],summary1[[#This Row],[Category]:[Category]],operations[[Month]:[Month]],summary1[[#Headers],[8]])</f>
        <v>0</v>
      </c>
      <c r="K14" s="7" cm="1">
        <f t="array" ref="K14">SUMIFS(operations[[Amount]:[Amount]],operations[[Category]:[Category]],summary1[[#This Row],[Category]:[Category]],operations[[Month]:[Month]],summary1[[#Headers],[9]])</f>
        <v>0</v>
      </c>
      <c r="L14" s="7" cm="1">
        <f t="array" ref="L14">SUMIFS(operations[[Amount]:[Amount]],operations[[Category]:[Category]],summary1[[#This Row],[Category]:[Category]],operations[[Month]:[Month]],summary1[[#Headers],[10]])</f>
        <v>0</v>
      </c>
      <c r="M14" s="7" cm="1">
        <f t="array" ref="M14">SUMIFS(operations[[Amount]:[Amount]],operations[[Category]:[Category]],summary1[[#This Row],[Category]:[Category]],operations[[Month]:[Month]],summary1[[#Headers],[11]])</f>
        <v>0</v>
      </c>
      <c r="N14" s="7" cm="1">
        <f t="array" ref="N14">SUMIFS(operations[[Amount]:[Amount]],operations[[Category]:[Category]],summary1[[#This Row],[Category]:[Category]],operations[[Month]:[Month]],summary1[[#Headers],[12]])</f>
        <v>0</v>
      </c>
      <c r="O14" s="7">
        <f>SUM(summary1[[#This Row],[1]:[12]])</f>
        <v>2750</v>
      </c>
    </row>
    <row r="15" spans="1:15" x14ac:dyDescent="0.25">
      <c r="A15" t="s">
        <v>26</v>
      </c>
      <c r="B15" t="s">
        <v>33</v>
      </c>
      <c r="C15" s="7" cm="1">
        <f t="array" ref="C15">SUMIFS(operations[[Amount]:[Amount]],operations[[Category]:[Category]],summary1[[#This Row],[Category]:[Category]],operations[[Month]:[Month]],summary1[[#Headers],[1]])</f>
        <v>4500</v>
      </c>
      <c r="D15" s="7" cm="1">
        <f t="array" ref="D15">SUMIFS(operations[[Amount]:[Amount]],operations[[Category]:[Category]],summary1[[#This Row],[Category]:[Category]],operations[[Month]:[Month]],summary1[[#Headers],[2]])</f>
        <v>4500</v>
      </c>
      <c r="E15" s="7" cm="1">
        <f t="array" ref="E15">SUMIFS(operations[[Amount]:[Amount]],operations[[Category]:[Category]],summary1[[#This Row],[Category]:[Category]],operations[[Month]:[Month]],summary1[[#Headers],[3]])</f>
        <v>4500</v>
      </c>
      <c r="F15" s="7" cm="1">
        <f t="array" ref="F15">SUMIFS(operations[[Amount]:[Amount]],operations[[Category]:[Category]],summary1[[#This Row],[Category]:[Category]],operations[[Month]:[Month]],summary1[[#Headers],[4]])</f>
        <v>4500</v>
      </c>
      <c r="G15" s="7" cm="1">
        <f t="array" ref="G15">SUMIFS(operations[[Amount]:[Amount]],operations[[Category]:[Category]],summary1[[#This Row],[Category]:[Category]],operations[[Month]:[Month]],summary1[[#Headers],[5]])</f>
        <v>4500</v>
      </c>
      <c r="H15" s="7" cm="1">
        <f t="array" ref="H15">SUMIFS(operations[[Amount]:[Amount]],operations[[Category]:[Category]],summary1[[#This Row],[Category]:[Category]],operations[[Month]:[Month]],summary1[[#Headers],[6]])</f>
        <v>4500</v>
      </c>
      <c r="I15" s="7" cm="1">
        <f t="array" ref="I15">SUMIFS(operations[[Amount]:[Amount]],operations[[Category]:[Category]],summary1[[#This Row],[Category]:[Category]],operations[[Month]:[Month]],summary1[[#Headers],[7]])</f>
        <v>4500</v>
      </c>
      <c r="J15" s="7" cm="1">
        <f t="array" ref="J15">SUMIFS(operations[[Amount]:[Amount]],operations[[Category]:[Category]],summary1[[#This Row],[Category]:[Category]],operations[[Month]:[Month]],summary1[[#Headers],[8]])</f>
        <v>4500</v>
      </c>
      <c r="K15" s="7" cm="1">
        <f t="array" ref="K15">SUMIFS(operations[[Amount]:[Amount]],operations[[Category]:[Category]],summary1[[#This Row],[Category]:[Category]],operations[[Month]:[Month]],summary1[[#Headers],[9]])</f>
        <v>4500</v>
      </c>
      <c r="L15" s="7" cm="1">
        <f t="array" ref="L15">SUMIFS(operations[[Amount]:[Amount]],operations[[Category]:[Category]],summary1[[#This Row],[Category]:[Category]],operations[[Month]:[Month]],summary1[[#Headers],[10]])</f>
        <v>4500</v>
      </c>
      <c r="M15" s="7" cm="1">
        <f t="array" ref="M15">SUMIFS(operations[[Amount]:[Amount]],operations[[Category]:[Category]],summary1[[#This Row],[Category]:[Category]],operations[[Month]:[Month]],summary1[[#Headers],[11]])</f>
        <v>4500</v>
      </c>
      <c r="N15" s="7" cm="1">
        <f t="array" ref="N15">SUMIFS(operations[[Amount]:[Amount]],operations[[Category]:[Category]],summary1[[#This Row],[Category]:[Category]],operations[[Month]:[Month]],summary1[[#Headers],[12]])</f>
        <v>4500</v>
      </c>
      <c r="O15" s="7">
        <f>SUM(summary1[[#This Row],[1]:[12]])</f>
        <v>54000</v>
      </c>
    </row>
    <row r="16" spans="1:15" x14ac:dyDescent="0.25">
      <c r="A16" t="s">
        <v>27</v>
      </c>
      <c r="B16" t="s">
        <v>33</v>
      </c>
      <c r="C16" s="7" cm="1">
        <f t="array" ref="C16">SUMIFS(operations[[Amount]:[Amount]],operations[[Category]:[Category]],summary1[[#This Row],[Category]:[Category]],operations[[Month]:[Month]],summary1[[#Headers],[1]])</f>
        <v>0</v>
      </c>
      <c r="D16" s="7" cm="1">
        <f t="array" ref="D16">SUMIFS(operations[[Amount]:[Amount]],operations[[Category]:[Category]],summary1[[#This Row],[Category]:[Category]],operations[[Month]:[Month]],summary1[[#Headers],[2]])</f>
        <v>0</v>
      </c>
      <c r="E16" s="7" cm="1">
        <f t="array" ref="E16">SUMIFS(operations[[Amount]:[Amount]],operations[[Category]:[Category]],summary1[[#This Row],[Category]:[Category]],operations[[Month]:[Month]],summary1[[#Headers],[3]])</f>
        <v>0</v>
      </c>
      <c r="F16" s="7" cm="1">
        <f t="array" ref="F16">SUMIFS(operations[[Amount]:[Amount]],operations[[Category]:[Category]],summary1[[#This Row],[Category]:[Category]],operations[[Month]:[Month]],summary1[[#Headers],[4]])</f>
        <v>0</v>
      </c>
      <c r="G16" s="7" cm="1">
        <f t="array" ref="G16">SUMIFS(operations[[Amount]:[Amount]],operations[[Category]:[Category]],summary1[[#This Row],[Category]:[Category]],operations[[Month]:[Month]],summary1[[#Headers],[5]])</f>
        <v>0</v>
      </c>
      <c r="H16" s="7" cm="1">
        <f t="array" ref="H16">SUMIFS(operations[[Amount]:[Amount]],operations[[Category]:[Category]],summary1[[#This Row],[Category]:[Category]],operations[[Month]:[Month]],summary1[[#Headers],[6]])</f>
        <v>0</v>
      </c>
      <c r="I16" s="7" cm="1">
        <f t="array" ref="I16">SUMIFS(operations[[Amount]:[Amount]],operations[[Category]:[Category]],summary1[[#This Row],[Category]:[Category]],operations[[Month]:[Month]],summary1[[#Headers],[7]])</f>
        <v>500</v>
      </c>
      <c r="J16" s="7" cm="1">
        <f t="array" ref="J16">SUMIFS(operations[[Amount]:[Amount]],operations[[Category]:[Category]],summary1[[#This Row],[Category]:[Category]],operations[[Month]:[Month]],summary1[[#Headers],[8]])</f>
        <v>500</v>
      </c>
      <c r="K16" s="7" cm="1">
        <f t="array" ref="K16">SUMIFS(operations[[Amount]:[Amount]],operations[[Category]:[Category]],summary1[[#This Row],[Category]:[Category]],operations[[Month]:[Month]],summary1[[#Headers],[9]])</f>
        <v>0</v>
      </c>
      <c r="L16" s="7" cm="1">
        <f t="array" ref="L16">SUMIFS(operations[[Amount]:[Amount]],operations[[Category]:[Category]],summary1[[#This Row],[Category]:[Category]],operations[[Month]:[Month]],summary1[[#Headers],[10]])</f>
        <v>0</v>
      </c>
      <c r="M16" s="7" cm="1">
        <f t="array" ref="M16">SUMIFS(operations[[Amount]:[Amount]],operations[[Category]:[Category]],summary1[[#This Row],[Category]:[Category]],operations[[Month]:[Month]],summary1[[#Headers],[11]])</f>
        <v>0</v>
      </c>
      <c r="N16" s="7" cm="1">
        <f t="array" ref="N16">SUMIFS(operations[[Amount]:[Amount]],operations[[Category]:[Category]],summary1[[#This Row],[Category]:[Category]],operations[[Month]:[Month]],summary1[[#Headers],[12]])</f>
        <v>0</v>
      </c>
      <c r="O16" s="7">
        <f>SUM(summary1[[#This Row],[1]:[12]])</f>
        <v>1000</v>
      </c>
    </row>
    <row r="17" spans="1:15" x14ac:dyDescent="0.25">
      <c r="A17" t="s">
        <v>31</v>
      </c>
      <c r="B17" t="s">
        <v>31</v>
      </c>
      <c r="C17" s="7" cm="1">
        <f t="array" ref="C17">SUMIFS(operations[[Amount]:[Amount]],operations[[Category]:[Category]],summary1[[#This Row],[Category]:[Category]],operations[[Month]:[Month]],summary1[[#Headers],[1]])</f>
        <v>0</v>
      </c>
      <c r="D17" s="7" cm="1">
        <f t="array" ref="D17">SUMIFS(operations[[Amount]:[Amount]],operations[[Category]:[Category]],summary1[[#This Row],[Category]:[Category]],operations[[Month]:[Month]],summary1[[#Headers],[2]])</f>
        <v>0</v>
      </c>
      <c r="E17" s="7" cm="1">
        <f t="array" ref="E17">SUMIFS(operations[[Amount]:[Amount]],operations[[Category]:[Category]],summary1[[#This Row],[Category]:[Category]],operations[[Month]:[Month]],summary1[[#Headers],[3]])</f>
        <v>0</v>
      </c>
      <c r="F17" s="7" cm="1">
        <f t="array" ref="F17">SUMIFS(operations[[Amount]:[Amount]],operations[[Category]:[Category]],summary1[[#This Row],[Category]:[Category]],operations[[Month]:[Month]],summary1[[#Headers],[4]])</f>
        <v>0</v>
      </c>
      <c r="G17" s="7" cm="1">
        <f t="array" ref="G17">SUMIFS(operations[[Amount]:[Amount]],operations[[Category]:[Category]],summary1[[#This Row],[Category]:[Category]],operations[[Month]:[Month]],summary1[[#Headers],[5]])</f>
        <v>0</v>
      </c>
      <c r="H17" s="7" cm="1">
        <f t="array" ref="H17">SUMIFS(operations[[Amount]:[Amount]],operations[[Category]:[Category]],summary1[[#This Row],[Category]:[Category]],operations[[Month]:[Month]],summary1[[#Headers],[6]])</f>
        <v>0</v>
      </c>
      <c r="I17" s="7" cm="1">
        <f t="array" ref="I17">SUMIFS(operations[[Amount]:[Amount]],operations[[Category]:[Category]],summary1[[#This Row],[Category]:[Category]],operations[[Month]:[Month]],summary1[[#Headers],[7]])</f>
        <v>0</v>
      </c>
      <c r="J17" s="7" cm="1">
        <f t="array" ref="J17">SUMIFS(operations[[Amount]:[Amount]],operations[[Category]:[Category]],summary1[[#This Row],[Category]:[Category]],operations[[Month]:[Month]],summary1[[#Headers],[8]])</f>
        <v>0</v>
      </c>
      <c r="K17" s="7" cm="1">
        <f t="array" ref="K17">SUMIFS(operations[[Amount]:[Amount]],operations[[Category]:[Category]],summary1[[#This Row],[Category]:[Category]],operations[[Month]:[Month]],summary1[[#Headers],[9]])</f>
        <v>0</v>
      </c>
      <c r="L17" s="7" cm="1">
        <f t="array" ref="L17">SUMIFS(operations[[Amount]:[Amount]],operations[[Category]:[Category]],summary1[[#This Row],[Category]:[Category]],operations[[Month]:[Month]],summary1[[#Headers],[10]])</f>
        <v>0</v>
      </c>
      <c r="M17" s="7" cm="1">
        <f t="array" ref="M17">SUMIFS(operations[[Amount]:[Amount]],operations[[Category]:[Category]],summary1[[#This Row],[Category]:[Category]],operations[[Month]:[Month]],summary1[[#Headers],[11]])</f>
        <v>0</v>
      </c>
      <c r="N17" s="7" cm="1">
        <f t="array" ref="N17">SUMIFS(operations[[Amount]:[Amount]],operations[[Category]:[Category]],summary1[[#This Row],[Category]:[Category]],operations[[Month]:[Month]],summary1[[#Headers],[12]])</f>
        <v>0</v>
      </c>
      <c r="O17" s="7">
        <f>SUM(summary1[[#This Row],[1]:[12]])</f>
        <v>0</v>
      </c>
    </row>
    <row r="18" spans="1:15" x14ac:dyDescent="0.25">
      <c r="A18">
        <f>SUBTOTAL(109,summary1[Category])</f>
        <v>0</v>
      </c>
      <c r="B18">
        <f>SUBTOTAL(109,summary1[Type])</f>
        <v>0</v>
      </c>
      <c r="C18" s="7">
        <f>SUBTOTAL(109,summary1[1])</f>
        <v>845.5</v>
      </c>
      <c r="D18" s="7">
        <f>SUBTOTAL(109,summary1[2])</f>
        <v>2464.5</v>
      </c>
      <c r="E18" s="7">
        <f>SUBTOTAL(109,summary1[3])</f>
        <v>755.60999999999967</v>
      </c>
      <c r="F18" s="7">
        <f>SUBTOTAL(109,summary1[4])</f>
        <v>726.84000000000015</v>
      </c>
      <c r="G18" s="7">
        <f>SUBTOTAL(109,summary1[5])</f>
        <v>1290</v>
      </c>
      <c r="H18" s="7">
        <f>SUBTOTAL(109,summary1[6])</f>
        <v>1170</v>
      </c>
      <c r="I18" s="7">
        <f>SUBTOTAL(109,summary1[7])</f>
        <v>2915</v>
      </c>
      <c r="J18" s="7">
        <f>SUBTOTAL(109,summary1[8])</f>
        <v>1410.5</v>
      </c>
      <c r="K18" s="7">
        <f>SUBTOTAL(109,summary1[9])</f>
        <v>1751.5</v>
      </c>
      <c r="L18" s="7">
        <f>SUBTOTAL(109,summary1[10])</f>
        <v>1670</v>
      </c>
      <c r="M18" s="7">
        <f>SUBTOTAL(109,summary1[11])</f>
        <v>1400</v>
      </c>
      <c r="N18" s="7">
        <f>SUBTOTAL(109,summary1[12])</f>
        <v>2420</v>
      </c>
      <c r="O18" s="7">
        <f>SUBTOTAL(109,summary1[Total])</f>
        <v>18819.449999999997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B93B-CCBF-4F10-B674-9D77666349A4}">
  <dimension ref="A1:O21"/>
  <sheetViews>
    <sheetView workbookViewId="0">
      <selection activeCell="H26" sqref="H26"/>
    </sheetView>
  </sheetViews>
  <sheetFormatPr defaultRowHeight="15" outlineLevelRow="2" x14ac:dyDescent="0.25"/>
  <cols>
    <col min="1" max="1" width="11" customWidth="1"/>
    <col min="2" max="2" width="14.5703125" customWidth="1"/>
    <col min="3" max="14" width="11.28515625" bestFit="1" customWidth="1"/>
    <col min="15" max="15" width="12.28515625" bestFit="1" customWidth="1"/>
  </cols>
  <sheetData>
    <row r="1" spans="1:15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37</v>
      </c>
    </row>
    <row r="2" spans="1:15" outlineLevel="2" x14ac:dyDescent="0.25">
      <c r="A2" t="s">
        <v>18</v>
      </c>
      <c r="B2" t="s">
        <v>32</v>
      </c>
      <c r="C2" s="7">
        <f>SUMIFS(operations[[Amount]:[Amount]],operations[[Category]:[Category]],$A2,operations[[Month]:[Month]],C$1)</f>
        <v>-2000</v>
      </c>
      <c r="D2" s="7">
        <f>SUMIFS(operations[[Amount]:[Amount]],operations[[Category]:[Category]],$A2,operations[[Month]:[Month]],D$1)</f>
        <v>-2000</v>
      </c>
      <c r="E2" s="7">
        <f>SUMIFS(operations[[Amount]:[Amount]],operations[[Category]:[Category]],$A2,operations[[Month]:[Month]],E$1)</f>
        <v>-2000</v>
      </c>
      <c r="F2" s="7">
        <f>SUMIFS(operations[[Amount]:[Amount]],operations[[Category]:[Category]],$A2,operations[[Month]:[Month]],F$1)</f>
        <v>-2000</v>
      </c>
      <c r="G2" s="7">
        <f>SUMIFS(operations[[Amount]:[Amount]],operations[[Category]:[Category]],$A2,operations[[Month]:[Month]],G$1)</f>
        <v>-2000</v>
      </c>
      <c r="H2" s="7">
        <f>SUMIFS(operations[[Amount]:[Amount]],operations[[Category]:[Category]],$A2,operations[[Month]:[Month]],H$1)</f>
        <v>-2000</v>
      </c>
      <c r="I2" s="7">
        <f>SUMIFS(operations[[Amount]:[Amount]],operations[[Category]:[Category]],$A2,operations[[Month]:[Month]],I$1)</f>
        <v>-2000</v>
      </c>
      <c r="J2" s="7">
        <f>SUMIFS(operations[[Amount]:[Amount]],operations[[Category]:[Category]],$A2,operations[[Month]:[Month]],J$1)</f>
        <v>-2000</v>
      </c>
      <c r="K2" s="7">
        <f>SUMIFS(operations[[Amount]:[Amount]],operations[[Category]:[Category]],$A2,operations[[Month]:[Month]],K$1)</f>
        <v>-2000</v>
      </c>
      <c r="L2" s="7">
        <f>SUMIFS(operations[[Amount]:[Amount]],operations[[Category]:[Category]],$A2,operations[[Month]:[Month]],L$1)</f>
        <v>-2000</v>
      </c>
      <c r="M2" s="7">
        <f>SUMIFS(operations[[Amount]:[Amount]],operations[[Category]:[Category]],$A2,operations[[Month]:[Month]],M$1)</f>
        <v>-2000</v>
      </c>
      <c r="N2" s="7">
        <f>SUMIFS(operations[[Amount]:[Amount]],operations[[Category]:[Category]],$A2,operations[[Month]:[Month]],N$1)</f>
        <v>-2000</v>
      </c>
      <c r="O2" s="7">
        <f>SUM(C2:N2)</f>
        <v>-24000</v>
      </c>
    </row>
    <row r="3" spans="1:15" outlineLevel="2" x14ac:dyDescent="0.25">
      <c r="A3" t="s">
        <v>22</v>
      </c>
      <c r="B3" t="s">
        <v>32</v>
      </c>
      <c r="C3" s="7">
        <f>SUMIFS(operations[[Amount]:[Amount]],operations[[Category]:[Category]],$A3,operations[[Month]:[Month]],C$1)</f>
        <v>-80</v>
      </c>
      <c r="D3" s="7">
        <f>SUMIFS(operations[[Amount]:[Amount]],operations[[Category]:[Category]],$A3,operations[[Month]:[Month]],D$1)</f>
        <v>0</v>
      </c>
      <c r="E3" s="7">
        <f>SUMIFS(operations[[Amount]:[Amount]],operations[[Category]:[Category]],$A3,operations[[Month]:[Month]],E$1)</f>
        <v>-469.9</v>
      </c>
      <c r="F3" s="7">
        <f>SUMIFS(operations[[Amount]:[Amount]],operations[[Category]:[Category]],$A3,operations[[Month]:[Month]],F$1)</f>
        <v>-149</v>
      </c>
      <c r="G3" s="7">
        <f>SUMIFS(operations[[Amount]:[Amount]],operations[[Category]:[Category]],$A3,operations[[Month]:[Month]],G$1)</f>
        <v>0</v>
      </c>
      <c r="H3" s="7">
        <f>SUMIFS(operations[[Amount]:[Amount]],operations[[Category]:[Category]],$A3,operations[[Month]:[Month]],H$1)</f>
        <v>-300</v>
      </c>
      <c r="I3" s="7">
        <f>SUMIFS(operations[[Amount]:[Amount]],operations[[Category]:[Category]],$A3,operations[[Month]:[Month]],I$1)</f>
        <v>250</v>
      </c>
      <c r="J3" s="7">
        <f>SUMIFS(operations[[Amount]:[Amount]],operations[[Category]:[Category]],$A3,operations[[Month]:[Month]],J$1)</f>
        <v>-300</v>
      </c>
      <c r="K3" s="7">
        <f>SUMIFS(operations[[Amount]:[Amount]],operations[[Category]:[Category]],$A3,operations[[Month]:[Month]],K$1)</f>
        <v>0</v>
      </c>
      <c r="L3" s="7">
        <f>SUMIFS(operations[[Amount]:[Amount]],operations[[Category]:[Category]],$A3,operations[[Month]:[Month]],L$1)</f>
        <v>0</v>
      </c>
      <c r="M3" s="7">
        <f>SUMIFS(operations[[Amount]:[Amount]],operations[[Category]:[Category]],$A3,operations[[Month]:[Month]],M$1)</f>
        <v>-158</v>
      </c>
      <c r="N3" s="7">
        <f>SUMIFS(operations[[Amount]:[Amount]],operations[[Category]:[Category]],$A3,operations[[Month]:[Month]],N$1)</f>
        <v>-120</v>
      </c>
      <c r="O3" s="7">
        <f t="shared" ref="O3:O19" si="0">SUM(C3:N3)</f>
        <v>-1326.9</v>
      </c>
    </row>
    <row r="4" spans="1:15" outlineLevel="2" x14ac:dyDescent="0.25">
      <c r="A4" t="s">
        <v>20</v>
      </c>
      <c r="B4" t="s">
        <v>32</v>
      </c>
      <c r="C4" s="7">
        <f>SUMIFS(operations[[Amount]:[Amount]],operations[[Category]:[Category]],$A4,operations[[Month]:[Month]],C$1)</f>
        <v>-85</v>
      </c>
      <c r="D4" s="7">
        <f>SUMIFS(operations[[Amount]:[Amount]],operations[[Category]:[Category]],$A4,operations[[Month]:[Month]],D$1)</f>
        <v>-350</v>
      </c>
      <c r="E4" s="7">
        <f>SUMIFS(operations[[Amount]:[Amount]],operations[[Category]:[Category]],$A4,operations[[Month]:[Month]],E$1)</f>
        <v>-200</v>
      </c>
      <c r="F4" s="7">
        <f>SUMIFS(operations[[Amount]:[Amount]],operations[[Category]:[Category]],$A4,operations[[Month]:[Month]],F$1)</f>
        <v>-1057.9000000000001</v>
      </c>
      <c r="G4" s="7">
        <f>SUMIFS(operations[[Amount]:[Amount]],operations[[Category]:[Category]],$A4,operations[[Month]:[Month]],G$1)</f>
        <v>-80</v>
      </c>
      <c r="H4" s="7">
        <f>SUMIFS(operations[[Amount]:[Amount]],operations[[Category]:[Category]],$A4,operations[[Month]:[Month]],H$1)</f>
        <v>-200</v>
      </c>
      <c r="I4" s="7">
        <f>SUMIFS(operations[[Amount]:[Amount]],operations[[Category]:[Category]],$A4,operations[[Month]:[Month]],I$1)</f>
        <v>-700</v>
      </c>
      <c r="J4" s="7">
        <f>SUMIFS(operations[[Amount]:[Amount]],operations[[Category]:[Category]],$A4,operations[[Month]:[Month]],J$1)</f>
        <v>-250</v>
      </c>
      <c r="K4" s="7">
        <f>SUMIFS(operations[[Amount]:[Amount]],operations[[Category]:[Category]],$A4,operations[[Month]:[Month]],K$1)</f>
        <v>-20</v>
      </c>
      <c r="L4" s="7">
        <f>SUMIFS(operations[[Amount]:[Amount]],operations[[Category]:[Category]],$A4,operations[[Month]:[Month]],L$1)</f>
        <v>-40</v>
      </c>
      <c r="M4" s="7">
        <f>SUMIFS(operations[[Amount]:[Amount]],operations[[Category]:[Category]],$A4,operations[[Month]:[Month]],M$1)</f>
        <v>-214</v>
      </c>
      <c r="N4" s="7">
        <f>SUMIFS(operations[[Amount]:[Amount]],operations[[Category]:[Category]],$A4,operations[[Month]:[Month]],N$1)</f>
        <v>-450</v>
      </c>
      <c r="O4" s="7">
        <f t="shared" si="0"/>
        <v>-3646.9</v>
      </c>
    </row>
    <row r="5" spans="1:15" outlineLevel="2" x14ac:dyDescent="0.25">
      <c r="A5" t="s">
        <v>17</v>
      </c>
      <c r="B5" t="s">
        <v>32</v>
      </c>
      <c r="C5" s="7">
        <f>SUMIFS(operations[[Amount]:[Amount]],operations[[Category]:[Category]],$A5,operations[[Month]:[Month]],C$1)</f>
        <v>-1715</v>
      </c>
      <c r="D5" s="7">
        <f>SUMIFS(operations[[Amount]:[Amount]],operations[[Category]:[Category]],$A5,operations[[Month]:[Month]],D$1)</f>
        <v>-405.5</v>
      </c>
      <c r="E5" s="7">
        <f>SUMIFS(operations[[Amount]:[Amount]],operations[[Category]:[Category]],$A5,operations[[Month]:[Month]],E$1)</f>
        <v>-734.99</v>
      </c>
      <c r="F5" s="7">
        <f>SUMIFS(operations[[Amount]:[Amount]],operations[[Category]:[Category]],$A5,operations[[Month]:[Month]],F$1)</f>
        <v>-372.26</v>
      </c>
      <c r="G5" s="7">
        <f>SUMIFS(operations[[Amount]:[Amount]],operations[[Category]:[Category]],$A5,operations[[Month]:[Month]],G$1)</f>
        <v>-1000</v>
      </c>
      <c r="H5" s="7">
        <f>SUMIFS(operations[[Amount]:[Amount]],operations[[Category]:[Category]],$A5,operations[[Month]:[Month]],H$1)</f>
        <v>-1000</v>
      </c>
      <c r="I5" s="7">
        <f>SUMIFS(operations[[Amount]:[Amount]],operations[[Category]:[Category]],$A5,operations[[Month]:[Month]],I$1)</f>
        <v>-165</v>
      </c>
      <c r="J5" s="7">
        <f>SUMIFS(operations[[Amount]:[Amount]],operations[[Category]:[Category]],$A5,operations[[Month]:[Month]],J$1)</f>
        <v>-749.5</v>
      </c>
      <c r="K5" s="7">
        <f>SUMIFS(operations[[Amount]:[Amount]],operations[[Category]:[Category]],$A5,operations[[Month]:[Month]],K$1)</f>
        <v>-538.5</v>
      </c>
      <c r="L5" s="7">
        <f>SUMIFS(operations[[Amount]:[Amount]],operations[[Category]:[Category]],$A5,operations[[Month]:[Month]],L$1)</f>
        <v>-600</v>
      </c>
      <c r="M5" s="7">
        <f>SUMIFS(operations[[Amount]:[Amount]],operations[[Category]:[Category]],$A5,operations[[Month]:[Month]],M$1)</f>
        <v>-506</v>
      </c>
      <c r="N5" s="7">
        <f>SUMIFS(operations[[Amount]:[Amount]],operations[[Category]:[Category]],$A5,operations[[Month]:[Month]],N$1)</f>
        <v>-700</v>
      </c>
      <c r="O5" s="7">
        <f t="shared" si="0"/>
        <v>-8486.75</v>
      </c>
    </row>
    <row r="6" spans="1:15" outlineLevel="2" x14ac:dyDescent="0.25">
      <c r="A6" t="s">
        <v>21</v>
      </c>
      <c r="B6" t="s">
        <v>32</v>
      </c>
      <c r="C6" s="7">
        <f>SUMIFS(operations[[Amount]:[Amount]],operations[[Category]:[Category]],$A6,operations[[Month]:[Month]],C$1)</f>
        <v>-100</v>
      </c>
      <c r="D6" s="7">
        <f>SUMIFS(operations[[Amount]:[Amount]],operations[[Category]:[Category]],$A6,operations[[Month]:[Month]],D$1)</f>
        <v>-250</v>
      </c>
      <c r="E6" s="7">
        <f>SUMIFS(operations[[Amount]:[Amount]],operations[[Category]:[Category]],$A6,operations[[Month]:[Month]],E$1)</f>
        <v>-9.5</v>
      </c>
      <c r="F6" s="7">
        <f>SUMIFS(operations[[Amount]:[Amount]],operations[[Category]:[Category]],$A6,operations[[Month]:[Month]],F$1)</f>
        <v>-23.5</v>
      </c>
      <c r="G6" s="7">
        <f>SUMIFS(operations[[Amount]:[Amount]],operations[[Category]:[Category]],$A6,operations[[Month]:[Month]],G$1)</f>
        <v>0</v>
      </c>
      <c r="H6" s="7">
        <f>SUMIFS(operations[[Amount]:[Amount]],operations[[Category]:[Category]],$A6,operations[[Month]:[Month]],H$1)</f>
        <v>-100</v>
      </c>
      <c r="I6" s="7">
        <f>SUMIFS(operations[[Amount]:[Amount]],operations[[Category]:[Category]],$A6,operations[[Month]:[Month]],I$1)</f>
        <v>-300</v>
      </c>
      <c r="J6" s="7">
        <f>SUMIFS(operations[[Amount]:[Amount]],operations[[Category]:[Category]],$A6,operations[[Month]:[Month]],J$1)</f>
        <v>-400</v>
      </c>
      <c r="K6" s="7">
        <f>SUMIFS(operations[[Amount]:[Amount]],operations[[Category]:[Category]],$A6,operations[[Month]:[Month]],K$1)</f>
        <v>0</v>
      </c>
      <c r="L6" s="7">
        <f>SUMIFS(operations[[Amount]:[Amount]],operations[[Category]:[Category]],$A6,operations[[Month]:[Month]],L$1)</f>
        <v>0</v>
      </c>
      <c r="M6" s="7">
        <f>SUMIFS(operations[[Amount]:[Amount]],operations[[Category]:[Category]],$A6,operations[[Month]:[Month]],M$1)</f>
        <v>-133</v>
      </c>
      <c r="N6" s="7">
        <f>SUMIFS(operations[[Amount]:[Amount]],operations[[Category]:[Category]],$A6,operations[[Month]:[Month]],N$1)</f>
        <v>-10</v>
      </c>
      <c r="O6" s="7">
        <f t="shared" si="0"/>
        <v>-1326</v>
      </c>
    </row>
    <row r="7" spans="1:15" outlineLevel="2" x14ac:dyDescent="0.25">
      <c r="A7" t="s">
        <v>19</v>
      </c>
      <c r="B7" t="s">
        <v>32</v>
      </c>
      <c r="C7" s="7">
        <f>SUMIFS(operations[[Amount]:[Amount]],operations[[Category]:[Category]],$A7,operations[[Month]:[Month]],C$1)</f>
        <v>-150</v>
      </c>
      <c r="D7" s="7">
        <f>SUMIFS(operations[[Amount]:[Amount]],operations[[Category]:[Category]],$A7,operations[[Month]:[Month]],D$1)</f>
        <v>-150</v>
      </c>
      <c r="E7" s="7">
        <f>SUMIFS(operations[[Amount]:[Amount]],operations[[Category]:[Category]],$A7,operations[[Month]:[Month]],E$1)</f>
        <v>-23</v>
      </c>
      <c r="F7" s="7">
        <f>SUMIFS(operations[[Amount]:[Amount]],operations[[Category]:[Category]],$A7,operations[[Month]:[Month]],F$1)</f>
        <v>-49</v>
      </c>
      <c r="G7" s="7">
        <f>SUMIFS(operations[[Amount]:[Amount]],operations[[Category]:[Category]],$A7,operations[[Month]:[Month]],G$1)</f>
        <v>-50</v>
      </c>
      <c r="H7" s="7">
        <f>SUMIFS(operations[[Amount]:[Amount]],operations[[Category]:[Category]],$A7,operations[[Month]:[Month]],H$1)</f>
        <v>-50</v>
      </c>
      <c r="I7" s="7">
        <f>SUMIFS(operations[[Amount]:[Amount]],operations[[Category]:[Category]],$A7,operations[[Month]:[Month]],I$1)</f>
        <v>0</v>
      </c>
      <c r="J7" s="7">
        <f>SUMIFS(operations[[Amount]:[Amount]],operations[[Category]:[Category]],$A7,operations[[Month]:[Month]],J$1)</f>
        <v>0</v>
      </c>
      <c r="K7" s="7">
        <f>SUMIFS(operations[[Amount]:[Amount]],operations[[Category]:[Category]],$A7,operations[[Month]:[Month]],K$1)</f>
        <v>-40</v>
      </c>
      <c r="L7" s="7">
        <f>SUMIFS(operations[[Amount]:[Amount]],operations[[Category]:[Category]],$A7,operations[[Month]:[Month]],L$1)</f>
        <v>-40</v>
      </c>
      <c r="M7" s="7">
        <f>SUMIFS(operations[[Amount]:[Amount]],operations[[Category]:[Category]],$A7,operations[[Month]:[Month]],M$1)</f>
        <v>-47</v>
      </c>
      <c r="N7" s="7">
        <f>SUMIFS(operations[[Amount]:[Amount]],operations[[Category]:[Category]],$A7,operations[[Month]:[Month]],N$1)</f>
        <v>0</v>
      </c>
      <c r="O7" s="7">
        <f t="shared" si="0"/>
        <v>-599</v>
      </c>
    </row>
    <row r="8" spans="1:15" outlineLevel="2" x14ac:dyDescent="0.25">
      <c r="A8" t="s">
        <v>24</v>
      </c>
      <c r="B8" t="s">
        <v>32</v>
      </c>
      <c r="C8" s="7">
        <f>SUMIFS(operations[[Amount]:[Amount]],operations[[Category]:[Category]],$A8,operations[[Month]:[Month]],C$1)</f>
        <v>-500</v>
      </c>
      <c r="D8" s="7">
        <f>SUMIFS(operations[[Amount]:[Amount]],operations[[Category]:[Category]],$A8,operations[[Month]:[Month]],D$1)</f>
        <v>-765</v>
      </c>
      <c r="E8" s="7">
        <f>SUMIFS(operations[[Amount]:[Amount]],operations[[Category]:[Category]],$A8,operations[[Month]:[Month]],E$1)</f>
        <v>-300</v>
      </c>
      <c r="F8" s="7">
        <f>SUMIFS(operations[[Amount]:[Amount]],operations[[Category]:[Category]],$A8,operations[[Month]:[Month]],F$1)</f>
        <v>-100</v>
      </c>
      <c r="G8" s="7">
        <f>SUMIFS(operations[[Amount]:[Amount]],operations[[Category]:[Category]],$A8,operations[[Month]:[Month]],G$1)</f>
        <v>0</v>
      </c>
      <c r="H8" s="7">
        <f>SUMIFS(operations[[Amount]:[Amount]],operations[[Category]:[Category]],$A8,operations[[Month]:[Month]],H$1)</f>
        <v>0</v>
      </c>
      <c r="I8" s="7">
        <f>SUMIFS(operations[[Amount]:[Amount]],operations[[Category]:[Category]],$A8,operations[[Month]:[Month]],I$1)</f>
        <v>0</v>
      </c>
      <c r="J8" s="7">
        <f>SUMIFS(operations[[Amount]:[Amount]],operations[[Category]:[Category]],$A8,operations[[Month]:[Month]],J$1)</f>
        <v>0</v>
      </c>
      <c r="K8" s="7">
        <f>SUMIFS(operations[[Amount]:[Amount]],operations[[Category]:[Category]],$A8,operations[[Month]:[Month]],K$1)</f>
        <v>0</v>
      </c>
      <c r="L8" s="7">
        <f>SUMIFS(operations[[Amount]:[Amount]],operations[[Category]:[Category]],$A8,operations[[Month]:[Month]],L$1)</f>
        <v>0</v>
      </c>
      <c r="M8" s="7">
        <f>SUMIFS(operations[[Amount]:[Amount]],operations[[Category]:[Category]],$A8,operations[[Month]:[Month]],M$1)</f>
        <v>-234</v>
      </c>
      <c r="N8" s="7">
        <f>SUMIFS(operations[[Amount]:[Amount]],operations[[Category]:[Category]],$A8,operations[[Month]:[Month]],N$1)</f>
        <v>-700</v>
      </c>
      <c r="O8" s="7">
        <f t="shared" si="0"/>
        <v>-2599</v>
      </c>
    </row>
    <row r="9" spans="1:15" outlineLevel="2" x14ac:dyDescent="0.25">
      <c r="A9" t="s">
        <v>23</v>
      </c>
      <c r="B9" t="s">
        <v>32</v>
      </c>
      <c r="C9" s="7">
        <f>SUMIFS(operations[[Amount]:[Amount]],operations[[Category]:[Category]],$A9,operations[[Month]:[Month]],C$1)</f>
        <v>-100</v>
      </c>
      <c r="D9" s="7">
        <f>SUMIFS(operations[[Amount]:[Amount]],operations[[Category]:[Category]],$A9,operations[[Month]:[Month]],D$1)</f>
        <v>-100</v>
      </c>
      <c r="E9" s="7">
        <f>SUMIFS(operations[[Amount]:[Amount]],operations[[Category]:[Category]],$A9,operations[[Month]:[Month]],E$1)</f>
        <v>-79.5</v>
      </c>
      <c r="F9" s="7">
        <f>SUMIFS(operations[[Amount]:[Amount]],operations[[Category]:[Category]],$A9,operations[[Month]:[Month]],F$1)</f>
        <v>-139</v>
      </c>
      <c r="G9" s="7">
        <f>SUMIFS(operations[[Amount]:[Amount]],operations[[Category]:[Category]],$A9,operations[[Month]:[Month]],G$1)</f>
        <v>0</v>
      </c>
      <c r="H9" s="7">
        <f>SUMIFS(operations[[Amount]:[Amount]],operations[[Category]:[Category]],$A9,operations[[Month]:[Month]],H$1)</f>
        <v>0</v>
      </c>
      <c r="I9" s="7">
        <f>SUMIFS(operations[[Amount]:[Amount]],operations[[Category]:[Category]],$A9,operations[[Month]:[Month]],I$1)</f>
        <v>0</v>
      </c>
      <c r="J9" s="7">
        <f>SUMIFS(operations[[Amount]:[Amount]],operations[[Category]:[Category]],$A9,operations[[Month]:[Month]],J$1)</f>
        <v>0</v>
      </c>
      <c r="K9" s="7">
        <f>SUMIFS(operations[[Amount]:[Amount]],operations[[Category]:[Category]],$A9,operations[[Month]:[Month]],K$1)</f>
        <v>0</v>
      </c>
      <c r="L9" s="7">
        <f>SUMIFS(operations[[Amount]:[Amount]],operations[[Category]:[Category]],$A9,operations[[Month]:[Month]],L$1)</f>
        <v>0</v>
      </c>
      <c r="M9" s="7">
        <f>SUMIFS(operations[[Amount]:[Amount]],operations[[Category]:[Category]],$A9,operations[[Month]:[Month]],M$1)</f>
        <v>0</v>
      </c>
      <c r="N9" s="7">
        <f>SUMIFS(operations[[Amount]:[Amount]],operations[[Category]:[Category]],$A9,operations[[Month]:[Month]],N$1)</f>
        <v>-100</v>
      </c>
      <c r="O9" s="7">
        <f t="shared" si="0"/>
        <v>-518.5</v>
      </c>
    </row>
    <row r="10" spans="1:15" outlineLevel="2" x14ac:dyDescent="0.25">
      <c r="A10" t="s">
        <v>16</v>
      </c>
      <c r="B10" t="s">
        <v>32</v>
      </c>
      <c r="C10" s="7">
        <f>SUMIFS(operations[[Amount]:[Amount]],operations[[Category]:[Category]],$A10,operations[[Month]:[Month]],C$1)</f>
        <v>-80</v>
      </c>
      <c r="D10" s="7">
        <f>SUMIFS(operations[[Amount]:[Amount]],operations[[Category]:[Category]],$A10,operations[[Month]:[Month]],D$1)</f>
        <v>-80</v>
      </c>
      <c r="E10" s="7">
        <f>SUMIFS(operations[[Amount]:[Amount]],operations[[Category]:[Category]],$A10,operations[[Month]:[Month]],E$1)</f>
        <v>-82.5</v>
      </c>
      <c r="F10" s="7">
        <f>SUMIFS(operations[[Amount]:[Amount]],operations[[Category]:[Category]],$A10,operations[[Month]:[Month]],F$1)</f>
        <v>-82.5</v>
      </c>
      <c r="G10" s="7">
        <f>SUMIFS(operations[[Amount]:[Amount]],operations[[Category]:[Category]],$A10,operations[[Month]:[Month]],G$1)</f>
        <v>-80</v>
      </c>
      <c r="H10" s="7">
        <f>SUMIFS(operations[[Amount]:[Amount]],operations[[Category]:[Category]],$A10,operations[[Month]:[Month]],H$1)</f>
        <v>-80</v>
      </c>
      <c r="I10" s="7">
        <f>SUMIFS(operations[[Amount]:[Amount]],operations[[Category]:[Category]],$A10,operations[[Month]:[Month]],I$1)</f>
        <v>-90</v>
      </c>
      <c r="J10" s="7">
        <f>SUMIFS(operations[[Amount]:[Amount]],operations[[Category]:[Category]],$A10,operations[[Month]:[Month]],J$1)</f>
        <v>-290</v>
      </c>
      <c r="K10" s="7">
        <f>SUMIFS(operations[[Amount]:[Amount]],operations[[Category]:[Category]],$A10,operations[[Month]:[Month]],K$1)</f>
        <v>-150</v>
      </c>
      <c r="L10" s="7">
        <f>SUMIFS(operations[[Amount]:[Amount]],operations[[Category]:[Category]],$A10,operations[[Month]:[Month]],L$1)</f>
        <v>-150</v>
      </c>
      <c r="M10" s="7">
        <f>SUMIFS(operations[[Amount]:[Amount]],operations[[Category]:[Category]],$A10,operations[[Month]:[Month]],M$1)</f>
        <v>-208</v>
      </c>
      <c r="N10" s="7">
        <f>SUMIFS(operations[[Amount]:[Amount]],operations[[Category]:[Category]],$A10,operations[[Month]:[Month]],N$1)</f>
        <v>0</v>
      </c>
      <c r="O10" s="7">
        <f t="shared" si="0"/>
        <v>-1373</v>
      </c>
    </row>
    <row r="11" spans="1:15" outlineLevel="1" x14ac:dyDescent="0.25">
      <c r="B11" s="8" t="s">
        <v>50</v>
      </c>
      <c r="C11" s="7">
        <f t="shared" ref="C11:O11" si="1">SUBTOTAL(9,C2:C10)</f>
        <v>-4810</v>
      </c>
      <c r="D11" s="7">
        <f t="shared" si="1"/>
        <v>-4100.5</v>
      </c>
      <c r="E11" s="7">
        <f t="shared" si="1"/>
        <v>-3899.3900000000003</v>
      </c>
      <c r="F11" s="7">
        <f t="shared" si="1"/>
        <v>-3973.16</v>
      </c>
      <c r="G11" s="7">
        <f t="shared" si="1"/>
        <v>-3210</v>
      </c>
      <c r="H11" s="7">
        <f t="shared" si="1"/>
        <v>-3730</v>
      </c>
      <c r="I11" s="7">
        <f t="shared" si="1"/>
        <v>-3005</v>
      </c>
      <c r="J11" s="7">
        <f t="shared" si="1"/>
        <v>-3989.5</v>
      </c>
      <c r="K11" s="7">
        <f t="shared" si="1"/>
        <v>-2748.5</v>
      </c>
      <c r="L11" s="7">
        <f t="shared" si="1"/>
        <v>-2830</v>
      </c>
      <c r="M11" s="7">
        <f t="shared" si="1"/>
        <v>-3500</v>
      </c>
      <c r="N11" s="7">
        <f t="shared" si="1"/>
        <v>-4080</v>
      </c>
      <c r="O11" s="7">
        <f t="shared" si="1"/>
        <v>-43876.05</v>
      </c>
    </row>
    <row r="12" spans="1:15" outlineLevel="2" x14ac:dyDescent="0.25">
      <c r="A12" t="s">
        <v>25</v>
      </c>
      <c r="B12" t="s">
        <v>33</v>
      </c>
      <c r="C12" s="7">
        <f>SUMIFS(operations[[Amount]:[Amount]],operations[[Category]:[Category]],$A12,operations[[Month]:[Month]],C$1)</f>
        <v>250</v>
      </c>
      <c r="D12" s="7">
        <f>SUMIFS(operations[[Amount]:[Amount]],operations[[Category]:[Category]],$A12,operations[[Month]:[Month]],D$1)</f>
        <v>0</v>
      </c>
      <c r="E12" s="7">
        <f>SUMIFS(operations[[Amount]:[Amount]],operations[[Category]:[Category]],$A12,operations[[Month]:[Month]],E$1)</f>
        <v>0</v>
      </c>
      <c r="F12" s="7">
        <f>SUMIFS(operations[[Amount]:[Amount]],operations[[Category]:[Category]],$A12,operations[[Month]:[Month]],F$1)</f>
        <v>0</v>
      </c>
      <c r="G12" s="7">
        <f>SUMIFS(operations[[Amount]:[Amount]],operations[[Category]:[Category]],$A12,operations[[Month]:[Month]],G$1)</f>
        <v>0</v>
      </c>
      <c r="H12" s="7">
        <f>SUMIFS(operations[[Amount]:[Amount]],operations[[Category]:[Category]],$A12,operations[[Month]:[Month]],H$1)</f>
        <v>400</v>
      </c>
      <c r="I12" s="7">
        <f>SUMIFS(operations[[Amount]:[Amount]],operations[[Category]:[Category]],$A12,operations[[Month]:[Month]],I$1)</f>
        <v>0</v>
      </c>
      <c r="J12" s="7">
        <f>SUMIFS(operations[[Amount]:[Amount]],operations[[Category]:[Category]],$A12,operations[[Month]:[Month]],J$1)</f>
        <v>0</v>
      </c>
      <c r="K12" s="7">
        <f>SUMIFS(operations[[Amount]:[Amount]],operations[[Category]:[Category]],$A12,operations[[Month]:[Month]],K$1)</f>
        <v>0</v>
      </c>
      <c r="L12" s="7">
        <f>SUMIFS(operations[[Amount]:[Amount]],operations[[Category]:[Category]],$A12,operations[[Month]:[Month]],L$1)</f>
        <v>0</v>
      </c>
      <c r="M12" s="7">
        <f>SUMIFS(operations[[Amount]:[Amount]],operations[[Category]:[Category]],$A12,operations[[Month]:[Month]],M$1)</f>
        <v>0</v>
      </c>
      <c r="N12" s="7">
        <f>SUMIFS(operations[[Amount]:[Amount]],operations[[Category]:[Category]],$A12,operations[[Month]:[Month]],N$1)</f>
        <v>0</v>
      </c>
      <c r="O12" s="7">
        <f t="shared" si="0"/>
        <v>650</v>
      </c>
    </row>
    <row r="13" spans="1:15" outlineLevel="2" x14ac:dyDescent="0.25">
      <c r="A13" t="s">
        <v>28</v>
      </c>
      <c r="B13" t="s">
        <v>33</v>
      </c>
      <c r="C13" s="7">
        <f>SUMIFS(operations[[Amount]:[Amount]],operations[[Category]:[Category]],$A13,operations[[Month]:[Month]],C$1)</f>
        <v>105.5</v>
      </c>
      <c r="D13" s="7">
        <f>SUMIFS(operations[[Amount]:[Amount]],operations[[Category]:[Category]],$A13,operations[[Month]:[Month]],D$1)</f>
        <v>115</v>
      </c>
      <c r="E13" s="7">
        <f>SUMIFS(operations[[Amount]:[Amount]],operations[[Category]:[Category]],$A13,operations[[Month]:[Month]],E$1)</f>
        <v>150</v>
      </c>
      <c r="F13" s="7">
        <f>SUMIFS(operations[[Amount]:[Amount]],operations[[Category]:[Category]],$A13,operations[[Month]:[Month]],F$1)</f>
        <v>150</v>
      </c>
      <c r="G13" s="7">
        <f>SUMIFS(operations[[Amount]:[Amount]],operations[[Category]:[Category]],$A13,operations[[Month]:[Month]],G$1)</f>
        <v>0</v>
      </c>
      <c r="H13" s="7">
        <f>SUMIFS(operations[[Amount]:[Amount]],operations[[Category]:[Category]],$A13,operations[[Month]:[Month]],H$1)</f>
        <v>0</v>
      </c>
      <c r="I13" s="7">
        <f>SUMIFS(operations[[Amount]:[Amount]],operations[[Category]:[Category]],$A13,operations[[Month]:[Month]],I$1)</f>
        <v>120</v>
      </c>
      <c r="J13" s="7">
        <f>SUMIFS(operations[[Amount]:[Amount]],operations[[Category]:[Category]],$A13,operations[[Month]:[Month]],J$1)</f>
        <v>0</v>
      </c>
      <c r="K13" s="7">
        <f>SUMIFS(operations[[Amount]:[Amount]],operations[[Category]:[Category]],$A13,operations[[Month]:[Month]],K$1)</f>
        <v>0</v>
      </c>
      <c r="L13" s="7">
        <f>SUMIFS(operations[[Amount]:[Amount]],operations[[Category]:[Category]],$A13,operations[[Month]:[Month]],L$1)</f>
        <v>0</v>
      </c>
      <c r="M13" s="7">
        <f>SUMIFS(operations[[Amount]:[Amount]],operations[[Category]:[Category]],$A13,operations[[Month]:[Month]],M$1)</f>
        <v>0</v>
      </c>
      <c r="N13" s="7">
        <f>SUMIFS(operations[[Amount]:[Amount]],operations[[Category]:[Category]],$A13,operations[[Month]:[Month]],N$1)</f>
        <v>0</v>
      </c>
      <c r="O13" s="7">
        <f t="shared" si="0"/>
        <v>640.5</v>
      </c>
    </row>
    <row r="14" spans="1:15" outlineLevel="2" x14ac:dyDescent="0.25">
      <c r="A14" t="s">
        <v>29</v>
      </c>
      <c r="B14" t="s">
        <v>33</v>
      </c>
      <c r="C14" s="7">
        <f>SUMIFS(operations[[Amount]:[Amount]],operations[[Category]:[Category]],$A14,operations[[Month]:[Month]],C$1)</f>
        <v>0</v>
      </c>
      <c r="D14" s="7">
        <f>SUMIFS(operations[[Amount]:[Amount]],operations[[Category]:[Category]],$A14,operations[[Month]:[Month]],D$1)</f>
        <v>0</v>
      </c>
      <c r="E14" s="7">
        <f>SUMIFS(operations[[Amount]:[Amount]],operations[[Category]:[Category]],$A14,operations[[Month]:[Month]],E$1)</f>
        <v>5</v>
      </c>
      <c r="F14" s="7">
        <f>SUMIFS(operations[[Amount]:[Amount]],operations[[Category]:[Category]],$A14,operations[[Month]:[Month]],F$1)</f>
        <v>50</v>
      </c>
      <c r="G14" s="7">
        <f>SUMIFS(operations[[Amount]:[Amount]],operations[[Category]:[Category]],$A14,operations[[Month]:[Month]],G$1)</f>
        <v>0</v>
      </c>
      <c r="H14" s="7">
        <f>SUMIFS(operations[[Amount]:[Amount]],operations[[Category]:[Category]],$A14,operations[[Month]:[Month]],H$1)</f>
        <v>0</v>
      </c>
      <c r="I14" s="7">
        <f>SUMIFS(operations[[Amount]:[Amount]],operations[[Category]:[Category]],$A14,operations[[Month]:[Month]],I$1)</f>
        <v>800</v>
      </c>
      <c r="J14" s="7">
        <f>SUMIFS(operations[[Amount]:[Amount]],operations[[Category]:[Category]],$A14,operations[[Month]:[Month]],J$1)</f>
        <v>400</v>
      </c>
      <c r="K14" s="7">
        <f>SUMIFS(operations[[Amount]:[Amount]],operations[[Category]:[Category]],$A14,operations[[Month]:[Month]],K$1)</f>
        <v>0</v>
      </c>
      <c r="L14" s="7">
        <f>SUMIFS(operations[[Amount]:[Amount]],operations[[Category]:[Category]],$A14,operations[[Month]:[Month]],L$1)</f>
        <v>0</v>
      </c>
      <c r="M14" s="7">
        <f>SUMIFS(operations[[Amount]:[Amount]],operations[[Category]:[Category]],$A14,operations[[Month]:[Month]],M$1)</f>
        <v>400</v>
      </c>
      <c r="N14" s="7">
        <f>SUMIFS(operations[[Amount]:[Amount]],operations[[Category]:[Category]],$A14,operations[[Month]:[Month]],N$1)</f>
        <v>2000</v>
      </c>
      <c r="O14" s="7">
        <f t="shared" si="0"/>
        <v>3655</v>
      </c>
    </row>
    <row r="15" spans="1:15" outlineLevel="2" x14ac:dyDescent="0.25">
      <c r="A15" t="s">
        <v>30</v>
      </c>
      <c r="B15" t="s">
        <v>33</v>
      </c>
      <c r="C15" s="7">
        <f>SUMIFS(operations[[Amount]:[Amount]],operations[[Category]:[Category]],$A15,operations[[Month]:[Month]],C$1)</f>
        <v>800</v>
      </c>
      <c r="D15" s="7">
        <f>SUMIFS(operations[[Amount]:[Amount]],operations[[Category]:[Category]],$A15,operations[[Month]:[Month]],D$1)</f>
        <v>1950</v>
      </c>
      <c r="E15" s="7">
        <f>SUMIFS(operations[[Amount]:[Amount]],operations[[Category]:[Category]],$A15,operations[[Month]:[Month]],E$1)</f>
        <v>0</v>
      </c>
      <c r="F15" s="7">
        <f>SUMIFS(operations[[Amount]:[Amount]],operations[[Category]:[Category]],$A15,operations[[Month]:[Month]],F$1)</f>
        <v>0</v>
      </c>
      <c r="G15" s="7">
        <f>SUMIFS(operations[[Amount]:[Amount]],operations[[Category]:[Category]],$A15,operations[[Month]:[Month]],G$1)</f>
        <v>0</v>
      </c>
      <c r="H15" s="7">
        <f>SUMIFS(operations[[Amount]:[Amount]],operations[[Category]:[Category]],$A15,operations[[Month]:[Month]],H$1)</f>
        <v>0</v>
      </c>
      <c r="I15" s="7">
        <f>SUMIFS(operations[[Amount]:[Amount]],operations[[Category]:[Category]],$A15,operations[[Month]:[Month]],I$1)</f>
        <v>0</v>
      </c>
      <c r="J15" s="7">
        <f>SUMIFS(operations[[Amount]:[Amount]],operations[[Category]:[Category]],$A15,operations[[Month]:[Month]],J$1)</f>
        <v>0</v>
      </c>
      <c r="K15" s="7">
        <f>SUMIFS(operations[[Amount]:[Amount]],operations[[Category]:[Category]],$A15,operations[[Month]:[Month]],K$1)</f>
        <v>0</v>
      </c>
      <c r="L15" s="7">
        <f>SUMIFS(operations[[Amount]:[Amount]],operations[[Category]:[Category]],$A15,operations[[Month]:[Month]],L$1)</f>
        <v>0</v>
      </c>
      <c r="M15" s="7">
        <f>SUMIFS(operations[[Amount]:[Amount]],operations[[Category]:[Category]],$A15,operations[[Month]:[Month]],M$1)</f>
        <v>0</v>
      </c>
      <c r="N15" s="7">
        <f>SUMIFS(operations[[Amount]:[Amount]],operations[[Category]:[Category]],$A15,operations[[Month]:[Month]],N$1)</f>
        <v>0</v>
      </c>
      <c r="O15" s="7">
        <f t="shared" si="0"/>
        <v>2750</v>
      </c>
    </row>
    <row r="16" spans="1:15" outlineLevel="2" x14ac:dyDescent="0.25">
      <c r="A16" t="s">
        <v>26</v>
      </c>
      <c r="B16" t="s">
        <v>33</v>
      </c>
      <c r="C16" s="7">
        <f>SUMIFS(operations[[Amount]:[Amount]],operations[[Category]:[Category]],$A16,operations[[Month]:[Month]],C$1)</f>
        <v>4500</v>
      </c>
      <c r="D16" s="7">
        <f>SUMIFS(operations[[Amount]:[Amount]],operations[[Category]:[Category]],$A16,operations[[Month]:[Month]],D$1)</f>
        <v>4500</v>
      </c>
      <c r="E16" s="7">
        <f>SUMIFS(operations[[Amount]:[Amount]],operations[[Category]:[Category]],$A16,operations[[Month]:[Month]],E$1)</f>
        <v>4500</v>
      </c>
      <c r="F16" s="7">
        <f>SUMIFS(operations[[Amount]:[Amount]],operations[[Category]:[Category]],$A16,operations[[Month]:[Month]],F$1)</f>
        <v>4500</v>
      </c>
      <c r="G16" s="7">
        <f>SUMIFS(operations[[Amount]:[Amount]],operations[[Category]:[Category]],$A16,operations[[Month]:[Month]],G$1)</f>
        <v>4500</v>
      </c>
      <c r="H16" s="7">
        <f>SUMIFS(operations[[Amount]:[Amount]],operations[[Category]:[Category]],$A16,operations[[Month]:[Month]],H$1)</f>
        <v>4500</v>
      </c>
      <c r="I16" s="7">
        <f>SUMIFS(operations[[Amount]:[Amount]],operations[[Category]:[Category]],$A16,operations[[Month]:[Month]],I$1)</f>
        <v>4500</v>
      </c>
      <c r="J16" s="7">
        <f>SUMIFS(operations[[Amount]:[Amount]],operations[[Category]:[Category]],$A16,operations[[Month]:[Month]],J$1)</f>
        <v>4500</v>
      </c>
      <c r="K16" s="7">
        <f>SUMIFS(operations[[Amount]:[Amount]],operations[[Category]:[Category]],$A16,operations[[Month]:[Month]],K$1)</f>
        <v>4500</v>
      </c>
      <c r="L16" s="7">
        <f>SUMIFS(operations[[Amount]:[Amount]],operations[[Category]:[Category]],$A16,operations[[Month]:[Month]],L$1)</f>
        <v>4500</v>
      </c>
      <c r="M16" s="7">
        <f>SUMIFS(operations[[Amount]:[Amount]],operations[[Category]:[Category]],$A16,operations[[Month]:[Month]],M$1)</f>
        <v>4500</v>
      </c>
      <c r="N16" s="7">
        <f>SUMIFS(operations[[Amount]:[Amount]],operations[[Category]:[Category]],$A16,operations[[Month]:[Month]],N$1)</f>
        <v>4500</v>
      </c>
      <c r="O16" s="7">
        <f t="shared" si="0"/>
        <v>54000</v>
      </c>
    </row>
    <row r="17" spans="1:15" outlineLevel="2" x14ac:dyDescent="0.25">
      <c r="A17" t="s">
        <v>27</v>
      </c>
      <c r="B17" t="s">
        <v>33</v>
      </c>
      <c r="C17" s="7">
        <f>SUMIFS(operations[[Amount]:[Amount]],operations[[Category]:[Category]],$A17,operations[[Month]:[Month]],C$1)</f>
        <v>0</v>
      </c>
      <c r="D17" s="7">
        <f>SUMIFS(operations[[Amount]:[Amount]],operations[[Category]:[Category]],$A17,operations[[Month]:[Month]],D$1)</f>
        <v>0</v>
      </c>
      <c r="E17" s="7">
        <f>SUMIFS(operations[[Amount]:[Amount]],operations[[Category]:[Category]],$A17,operations[[Month]:[Month]],E$1)</f>
        <v>0</v>
      </c>
      <c r="F17" s="7">
        <f>SUMIFS(operations[[Amount]:[Amount]],operations[[Category]:[Category]],$A17,operations[[Month]:[Month]],F$1)</f>
        <v>0</v>
      </c>
      <c r="G17" s="7">
        <f>SUMIFS(operations[[Amount]:[Amount]],operations[[Category]:[Category]],$A17,operations[[Month]:[Month]],G$1)</f>
        <v>0</v>
      </c>
      <c r="H17" s="7">
        <f>SUMIFS(operations[[Amount]:[Amount]],operations[[Category]:[Category]],$A17,operations[[Month]:[Month]],H$1)</f>
        <v>0</v>
      </c>
      <c r="I17" s="7">
        <f>SUMIFS(operations[[Amount]:[Amount]],operations[[Category]:[Category]],$A17,operations[[Month]:[Month]],I$1)</f>
        <v>500</v>
      </c>
      <c r="J17" s="7">
        <f>SUMIFS(operations[[Amount]:[Amount]],operations[[Category]:[Category]],$A17,operations[[Month]:[Month]],J$1)</f>
        <v>500</v>
      </c>
      <c r="K17" s="7">
        <f>SUMIFS(operations[[Amount]:[Amount]],operations[[Category]:[Category]],$A17,operations[[Month]:[Month]],K$1)</f>
        <v>0</v>
      </c>
      <c r="L17" s="7">
        <f>SUMIFS(operations[[Amount]:[Amount]],operations[[Category]:[Category]],$A17,operations[[Month]:[Month]],L$1)</f>
        <v>0</v>
      </c>
      <c r="M17" s="7">
        <f>SUMIFS(operations[[Amount]:[Amount]],operations[[Category]:[Category]],$A17,operations[[Month]:[Month]],M$1)</f>
        <v>0</v>
      </c>
      <c r="N17" s="7">
        <f>SUMIFS(operations[[Amount]:[Amount]],operations[[Category]:[Category]],$A17,operations[[Month]:[Month]],N$1)</f>
        <v>0</v>
      </c>
      <c r="O17" s="7">
        <f t="shared" si="0"/>
        <v>1000</v>
      </c>
    </row>
    <row r="18" spans="1:15" outlineLevel="1" x14ac:dyDescent="0.25">
      <c r="B18" s="9" t="s">
        <v>51</v>
      </c>
      <c r="C18" s="7">
        <f t="shared" ref="C18:O18" si="2">SUBTOTAL(9,C12:C17)</f>
        <v>5655.5</v>
      </c>
      <c r="D18" s="7">
        <f t="shared" si="2"/>
        <v>6565</v>
      </c>
      <c r="E18" s="7">
        <f t="shared" si="2"/>
        <v>4655</v>
      </c>
      <c r="F18" s="7">
        <f t="shared" si="2"/>
        <v>4700</v>
      </c>
      <c r="G18" s="7">
        <f t="shared" si="2"/>
        <v>4500</v>
      </c>
      <c r="H18" s="7">
        <f t="shared" si="2"/>
        <v>4900</v>
      </c>
      <c r="I18" s="7">
        <f t="shared" si="2"/>
        <v>5920</v>
      </c>
      <c r="J18" s="7">
        <f t="shared" si="2"/>
        <v>5400</v>
      </c>
      <c r="K18" s="7">
        <f t="shared" si="2"/>
        <v>4500</v>
      </c>
      <c r="L18" s="7">
        <f t="shared" si="2"/>
        <v>4500</v>
      </c>
      <c r="M18" s="7">
        <f t="shared" si="2"/>
        <v>4900</v>
      </c>
      <c r="N18" s="7">
        <f t="shared" si="2"/>
        <v>6500</v>
      </c>
      <c r="O18" s="7">
        <f t="shared" si="2"/>
        <v>62695.5</v>
      </c>
    </row>
    <row r="19" spans="1:15" outlineLevel="2" x14ac:dyDescent="0.25">
      <c r="A19" t="s">
        <v>31</v>
      </c>
      <c r="B19" t="s">
        <v>31</v>
      </c>
      <c r="C19" s="7">
        <f>SUMIFS(operations[[Amount]:[Amount]],operations[[Category]:[Category]],$A19,operations[[Month]:[Month]],C$1)</f>
        <v>0</v>
      </c>
      <c r="D19" s="7">
        <f>SUMIFS(operations[[Amount]:[Amount]],operations[[Category]:[Category]],$A19,operations[[Month]:[Month]],D$1)</f>
        <v>0</v>
      </c>
      <c r="E19" s="7">
        <f>SUMIFS(operations[[Amount]:[Amount]],operations[[Category]:[Category]],$A19,operations[[Month]:[Month]],E$1)</f>
        <v>0</v>
      </c>
      <c r="F19" s="7">
        <f>SUMIFS(operations[[Amount]:[Amount]],operations[[Category]:[Category]],$A19,operations[[Month]:[Month]],F$1)</f>
        <v>0</v>
      </c>
      <c r="G19" s="7">
        <f>SUMIFS(operations[[Amount]:[Amount]],operations[[Category]:[Category]],$A19,operations[[Month]:[Month]],G$1)</f>
        <v>0</v>
      </c>
      <c r="H19" s="7">
        <f>SUMIFS(operations[[Amount]:[Amount]],operations[[Category]:[Category]],$A19,operations[[Month]:[Month]],H$1)</f>
        <v>0</v>
      </c>
      <c r="I19" s="7">
        <f>SUMIFS(operations[[Amount]:[Amount]],operations[[Category]:[Category]],$A19,operations[[Month]:[Month]],I$1)</f>
        <v>0</v>
      </c>
      <c r="J19" s="7">
        <f>SUMIFS(operations[[Amount]:[Amount]],operations[[Category]:[Category]],$A19,operations[[Month]:[Month]],J$1)</f>
        <v>0</v>
      </c>
      <c r="K19" s="7">
        <f>SUMIFS(operations[[Amount]:[Amount]],operations[[Category]:[Category]],$A19,operations[[Month]:[Month]],K$1)</f>
        <v>0</v>
      </c>
      <c r="L19" s="7">
        <f>SUMIFS(operations[[Amount]:[Amount]],operations[[Category]:[Category]],$A19,operations[[Month]:[Month]],L$1)</f>
        <v>0</v>
      </c>
      <c r="M19" s="7">
        <f>SUMIFS(operations[[Amount]:[Amount]],operations[[Category]:[Category]],$A19,operations[[Month]:[Month]],M$1)</f>
        <v>0</v>
      </c>
      <c r="N19" s="7">
        <f>SUMIFS(operations[[Amount]:[Amount]],operations[[Category]:[Category]],$A19,operations[[Month]:[Month]],N$1)</f>
        <v>0</v>
      </c>
      <c r="O19" s="7">
        <f t="shared" si="0"/>
        <v>0</v>
      </c>
    </row>
    <row r="20" spans="1:15" outlineLevel="1" x14ac:dyDescent="0.25">
      <c r="B20" s="9" t="s">
        <v>52</v>
      </c>
      <c r="C20" s="7">
        <f t="shared" ref="C20:O20" si="3">SUBTOTAL(9,C19:C19)</f>
        <v>0</v>
      </c>
      <c r="D20" s="7">
        <f t="shared" si="3"/>
        <v>0</v>
      </c>
      <c r="E20" s="7">
        <f t="shared" si="3"/>
        <v>0</v>
      </c>
      <c r="F20" s="7">
        <f t="shared" si="3"/>
        <v>0</v>
      </c>
      <c r="G20" s="7">
        <f t="shared" si="3"/>
        <v>0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0</v>
      </c>
      <c r="L20" s="7">
        <f t="shared" si="3"/>
        <v>0</v>
      </c>
      <c r="M20" s="7">
        <f t="shared" si="3"/>
        <v>0</v>
      </c>
      <c r="N20" s="7">
        <f t="shared" si="3"/>
        <v>0</v>
      </c>
      <c r="O20" s="7">
        <f t="shared" si="3"/>
        <v>0</v>
      </c>
    </row>
    <row r="21" spans="1:15" x14ac:dyDescent="0.25">
      <c r="B21" s="9" t="s">
        <v>53</v>
      </c>
      <c r="C21" s="7">
        <f t="shared" ref="C21:O21" si="4">SUBTOTAL(9,C2:C19)</f>
        <v>845.5</v>
      </c>
      <c r="D21" s="7">
        <f t="shared" si="4"/>
        <v>2464.5</v>
      </c>
      <c r="E21" s="7">
        <f t="shared" si="4"/>
        <v>755.60999999999967</v>
      </c>
      <c r="F21" s="7">
        <f t="shared" si="4"/>
        <v>726.84000000000015</v>
      </c>
      <c r="G21" s="7">
        <f t="shared" si="4"/>
        <v>1290</v>
      </c>
      <c r="H21" s="7">
        <f t="shared" si="4"/>
        <v>1170</v>
      </c>
      <c r="I21" s="7">
        <f t="shared" si="4"/>
        <v>2915</v>
      </c>
      <c r="J21" s="7">
        <f t="shared" si="4"/>
        <v>1410.5</v>
      </c>
      <c r="K21" s="7">
        <f t="shared" si="4"/>
        <v>1751.5</v>
      </c>
      <c r="L21" s="7">
        <f t="shared" si="4"/>
        <v>1670</v>
      </c>
      <c r="M21" s="7">
        <f t="shared" si="4"/>
        <v>1400</v>
      </c>
      <c r="N21" s="7">
        <f t="shared" si="4"/>
        <v>2420</v>
      </c>
      <c r="O21" s="7">
        <f t="shared" si="4"/>
        <v>18819.449999999997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C31E-A86C-46D2-9476-701581A19F0B}">
  <dimension ref="A3:O24"/>
  <sheetViews>
    <sheetView workbookViewId="0">
      <selection activeCell="J15" sqref="J15"/>
    </sheetView>
  </sheetViews>
  <sheetFormatPr defaultRowHeight="15" x14ac:dyDescent="0.25"/>
  <cols>
    <col min="1" max="1" width="18.85546875" bestFit="1" customWidth="1"/>
    <col min="2" max="2" width="15.140625" bestFit="1" customWidth="1"/>
    <col min="3" max="14" width="11.28515625" bestFit="1" customWidth="1"/>
    <col min="15" max="15" width="14.28515625" bestFit="1" customWidth="1"/>
  </cols>
  <sheetData>
    <row r="3" spans="1:15" x14ac:dyDescent="0.25">
      <c r="A3" s="10" t="s">
        <v>54</v>
      </c>
      <c r="C3" s="10" t="s">
        <v>6</v>
      </c>
    </row>
    <row r="4" spans="1:15" x14ac:dyDescent="0.25">
      <c r="A4" s="10" t="s">
        <v>4</v>
      </c>
      <c r="B4" s="10" t="s">
        <v>3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53</v>
      </c>
    </row>
    <row r="5" spans="1:15" x14ac:dyDescent="0.25">
      <c r="A5" t="s">
        <v>32</v>
      </c>
      <c r="B5" t="s">
        <v>18</v>
      </c>
      <c r="C5" s="7">
        <v>-2000</v>
      </c>
      <c r="D5" s="7">
        <v>-2000</v>
      </c>
      <c r="E5" s="7">
        <v>-2000</v>
      </c>
      <c r="F5" s="7">
        <v>-2000</v>
      </c>
      <c r="G5" s="7">
        <v>-2000</v>
      </c>
      <c r="H5" s="7">
        <v>-2000</v>
      </c>
      <c r="I5" s="7">
        <v>-2000</v>
      </c>
      <c r="J5" s="7">
        <v>-2000</v>
      </c>
      <c r="K5" s="7">
        <v>-2000</v>
      </c>
      <c r="L5" s="7">
        <v>-2000</v>
      </c>
      <c r="M5" s="7">
        <v>-2000</v>
      </c>
      <c r="N5" s="7">
        <v>-2000</v>
      </c>
      <c r="O5" s="7">
        <v>-24000</v>
      </c>
    </row>
    <row r="6" spans="1:15" x14ac:dyDescent="0.25">
      <c r="A6" t="s">
        <v>32</v>
      </c>
      <c r="B6" t="s">
        <v>22</v>
      </c>
      <c r="C6" s="7">
        <v>-80</v>
      </c>
      <c r="D6" s="7"/>
      <c r="E6" s="7">
        <v>-469.9</v>
      </c>
      <c r="F6" s="7">
        <v>-149</v>
      </c>
      <c r="G6" s="7"/>
      <c r="H6" s="7">
        <v>-300</v>
      </c>
      <c r="I6" s="7">
        <v>250</v>
      </c>
      <c r="J6" s="7">
        <v>-300</v>
      </c>
      <c r="K6" s="7"/>
      <c r="L6" s="7"/>
      <c r="M6" s="7">
        <v>-158</v>
      </c>
      <c r="N6" s="7">
        <v>-120</v>
      </c>
      <c r="O6" s="7">
        <v>-1326.9</v>
      </c>
    </row>
    <row r="7" spans="1:15" x14ac:dyDescent="0.25">
      <c r="A7" t="s">
        <v>32</v>
      </c>
      <c r="B7" t="s">
        <v>20</v>
      </c>
      <c r="C7" s="7">
        <v>-85</v>
      </c>
      <c r="D7" s="7">
        <v>-350</v>
      </c>
      <c r="E7" s="7">
        <v>-200</v>
      </c>
      <c r="F7" s="7">
        <v>-1057.9000000000001</v>
      </c>
      <c r="G7" s="7">
        <v>-80</v>
      </c>
      <c r="H7" s="7">
        <v>-200</v>
      </c>
      <c r="I7" s="7">
        <v>-700</v>
      </c>
      <c r="J7" s="7">
        <v>-250</v>
      </c>
      <c r="K7" s="7">
        <v>-20</v>
      </c>
      <c r="L7" s="7">
        <v>-40</v>
      </c>
      <c r="M7" s="7">
        <v>-214</v>
      </c>
      <c r="N7" s="7">
        <v>-450</v>
      </c>
      <c r="O7" s="7">
        <v>-3646.9</v>
      </c>
    </row>
    <row r="8" spans="1:15" x14ac:dyDescent="0.25">
      <c r="A8" t="s">
        <v>32</v>
      </c>
      <c r="B8" t="s">
        <v>17</v>
      </c>
      <c r="C8" s="7">
        <v>-1715</v>
      </c>
      <c r="D8" s="7">
        <v>-405.5</v>
      </c>
      <c r="E8" s="7">
        <v>-734.99</v>
      </c>
      <c r="F8" s="7">
        <v>-372.26</v>
      </c>
      <c r="G8" s="7">
        <v>-1000</v>
      </c>
      <c r="H8" s="7">
        <v>-1000</v>
      </c>
      <c r="I8" s="7">
        <v>-165</v>
      </c>
      <c r="J8" s="7">
        <v>-749.5</v>
      </c>
      <c r="K8" s="7">
        <v>-538.5</v>
      </c>
      <c r="L8" s="7">
        <v>-600</v>
      </c>
      <c r="M8" s="7">
        <v>-506</v>
      </c>
      <c r="N8" s="7">
        <v>-700</v>
      </c>
      <c r="O8" s="7">
        <v>-8486.75</v>
      </c>
    </row>
    <row r="9" spans="1:15" x14ac:dyDescent="0.25">
      <c r="A9" t="s">
        <v>32</v>
      </c>
      <c r="B9" t="s">
        <v>21</v>
      </c>
      <c r="C9" s="7">
        <v>-100</v>
      </c>
      <c r="D9" s="7">
        <v>-250</v>
      </c>
      <c r="E9" s="7">
        <v>-9.5</v>
      </c>
      <c r="F9" s="7">
        <v>-23.5</v>
      </c>
      <c r="G9" s="7"/>
      <c r="H9" s="7">
        <v>-100</v>
      </c>
      <c r="I9" s="7">
        <v>-300</v>
      </c>
      <c r="J9" s="7">
        <v>-400</v>
      </c>
      <c r="K9" s="7"/>
      <c r="L9" s="7"/>
      <c r="M9" s="7">
        <v>-133</v>
      </c>
      <c r="N9" s="7">
        <v>-10</v>
      </c>
      <c r="O9" s="7">
        <v>-1326</v>
      </c>
    </row>
    <row r="10" spans="1:15" x14ac:dyDescent="0.25">
      <c r="A10" t="s">
        <v>32</v>
      </c>
      <c r="B10" t="s">
        <v>19</v>
      </c>
      <c r="C10" s="7">
        <v>-150</v>
      </c>
      <c r="D10" s="7">
        <v>-150</v>
      </c>
      <c r="E10" s="7">
        <v>-23</v>
      </c>
      <c r="F10" s="7">
        <v>-49</v>
      </c>
      <c r="G10" s="7">
        <v>-50</v>
      </c>
      <c r="H10" s="7">
        <v>-50</v>
      </c>
      <c r="I10" s="7"/>
      <c r="J10" s="7"/>
      <c r="K10" s="7">
        <v>-40</v>
      </c>
      <c r="L10" s="7">
        <v>-40</v>
      </c>
      <c r="M10" s="7">
        <v>-47</v>
      </c>
      <c r="N10" s="7"/>
      <c r="O10" s="7">
        <v>-599</v>
      </c>
    </row>
    <row r="11" spans="1:15" x14ac:dyDescent="0.25">
      <c r="A11" t="s">
        <v>32</v>
      </c>
      <c r="B11" t="s">
        <v>24</v>
      </c>
      <c r="C11" s="7">
        <v>-500</v>
      </c>
      <c r="D11" s="7">
        <v>-765</v>
      </c>
      <c r="E11" s="7">
        <v>-300</v>
      </c>
      <c r="F11" s="7">
        <v>-100</v>
      </c>
      <c r="G11" s="7"/>
      <c r="H11" s="7"/>
      <c r="I11" s="7"/>
      <c r="J11" s="7"/>
      <c r="K11" s="7"/>
      <c r="L11" s="7"/>
      <c r="M11" s="7">
        <v>-234</v>
      </c>
      <c r="N11" s="7">
        <v>-700</v>
      </c>
      <c r="O11" s="7">
        <v>-2599</v>
      </c>
    </row>
    <row r="12" spans="1:15" x14ac:dyDescent="0.25">
      <c r="A12" t="s">
        <v>32</v>
      </c>
      <c r="B12" t="s">
        <v>23</v>
      </c>
      <c r="C12" s="7">
        <v>-100</v>
      </c>
      <c r="D12" s="7">
        <v>-100</v>
      </c>
      <c r="E12" s="7">
        <v>-79.5</v>
      </c>
      <c r="F12" s="7">
        <v>-139</v>
      </c>
      <c r="G12" s="7"/>
      <c r="H12" s="7"/>
      <c r="I12" s="7"/>
      <c r="J12" s="7"/>
      <c r="K12" s="7"/>
      <c r="L12" s="7"/>
      <c r="M12" s="7"/>
      <c r="N12" s="7">
        <v>-100</v>
      </c>
      <c r="O12" s="7">
        <v>-518.5</v>
      </c>
    </row>
    <row r="13" spans="1:15" x14ac:dyDescent="0.25">
      <c r="A13" t="s">
        <v>32</v>
      </c>
      <c r="B13" t="s">
        <v>16</v>
      </c>
      <c r="C13" s="7">
        <v>-80</v>
      </c>
      <c r="D13" s="7">
        <v>-80</v>
      </c>
      <c r="E13" s="7">
        <v>-82.5</v>
      </c>
      <c r="F13" s="7">
        <v>-82.5</v>
      </c>
      <c r="G13" s="7">
        <v>-80</v>
      </c>
      <c r="H13" s="7">
        <v>-80</v>
      </c>
      <c r="I13" s="7">
        <v>-90</v>
      </c>
      <c r="J13" s="7">
        <v>-290</v>
      </c>
      <c r="K13" s="7">
        <v>-150</v>
      </c>
      <c r="L13" s="7">
        <v>-150</v>
      </c>
      <c r="M13" s="7">
        <v>-208</v>
      </c>
      <c r="N13" s="7"/>
      <c r="O13" s="7">
        <v>-1373</v>
      </c>
    </row>
    <row r="14" spans="1:15" x14ac:dyDescent="0.25">
      <c r="A14" t="s">
        <v>50</v>
      </c>
      <c r="C14" s="7">
        <v>-4810</v>
      </c>
      <c r="D14" s="7">
        <v>-4100.5</v>
      </c>
      <c r="E14" s="7">
        <v>-3899.3900000000003</v>
      </c>
      <c r="F14" s="7">
        <v>-3973.16</v>
      </c>
      <c r="G14" s="7">
        <v>-3210</v>
      </c>
      <c r="H14" s="7">
        <v>-3730</v>
      </c>
      <c r="I14" s="7">
        <v>-3005</v>
      </c>
      <c r="J14" s="7">
        <v>-3989.5</v>
      </c>
      <c r="K14" s="7">
        <v>-2748.5</v>
      </c>
      <c r="L14" s="7">
        <v>-2830</v>
      </c>
      <c r="M14" s="7">
        <v>-3500</v>
      </c>
      <c r="N14" s="7">
        <v>-4080</v>
      </c>
      <c r="O14" s="7">
        <v>-43876.05</v>
      </c>
    </row>
    <row r="15" spans="1:15" x14ac:dyDescent="0.25">
      <c r="A15" t="s">
        <v>33</v>
      </c>
      <c r="B15" t="s">
        <v>25</v>
      </c>
      <c r="C15" s="7">
        <v>250</v>
      </c>
      <c r="D15" s="7"/>
      <c r="E15" s="7"/>
      <c r="F15" s="7"/>
      <c r="G15" s="7"/>
      <c r="H15" s="7">
        <v>400</v>
      </c>
      <c r="I15" s="7"/>
      <c r="J15" s="7"/>
      <c r="K15" s="7"/>
      <c r="L15" s="7"/>
      <c r="M15" s="7"/>
      <c r="N15" s="7"/>
      <c r="O15" s="7">
        <v>650</v>
      </c>
    </row>
    <row r="16" spans="1:15" x14ac:dyDescent="0.25">
      <c r="A16" t="s">
        <v>33</v>
      </c>
      <c r="B16" t="s">
        <v>28</v>
      </c>
      <c r="C16" s="7">
        <v>105.5</v>
      </c>
      <c r="D16" s="7">
        <v>115</v>
      </c>
      <c r="E16" s="7">
        <v>150</v>
      </c>
      <c r="F16" s="7">
        <v>150</v>
      </c>
      <c r="G16" s="7"/>
      <c r="H16" s="7"/>
      <c r="I16" s="7">
        <v>120</v>
      </c>
      <c r="J16" s="7"/>
      <c r="K16" s="7"/>
      <c r="L16" s="7"/>
      <c r="M16" s="7"/>
      <c r="N16" s="7"/>
      <c r="O16" s="7">
        <v>640.5</v>
      </c>
    </row>
    <row r="17" spans="1:15" x14ac:dyDescent="0.25">
      <c r="A17" t="s">
        <v>33</v>
      </c>
      <c r="B17" t="s">
        <v>29</v>
      </c>
      <c r="C17" s="7"/>
      <c r="D17" s="7"/>
      <c r="E17" s="7">
        <v>5</v>
      </c>
      <c r="F17" s="7">
        <v>50</v>
      </c>
      <c r="G17" s="7"/>
      <c r="H17" s="7"/>
      <c r="I17" s="7">
        <v>800</v>
      </c>
      <c r="J17" s="7">
        <v>400</v>
      </c>
      <c r="K17" s="7"/>
      <c r="L17" s="7"/>
      <c r="M17" s="7">
        <v>400</v>
      </c>
      <c r="N17" s="7">
        <v>2000</v>
      </c>
      <c r="O17" s="7">
        <v>3655</v>
      </c>
    </row>
    <row r="18" spans="1:15" x14ac:dyDescent="0.25">
      <c r="A18" t="s">
        <v>33</v>
      </c>
      <c r="B18" t="s">
        <v>30</v>
      </c>
      <c r="C18" s="7">
        <v>800</v>
      </c>
      <c r="D18" s="7">
        <v>1950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2750</v>
      </c>
    </row>
    <row r="19" spans="1:15" x14ac:dyDescent="0.25">
      <c r="A19" t="s">
        <v>33</v>
      </c>
      <c r="B19" t="s">
        <v>26</v>
      </c>
      <c r="C19" s="7">
        <v>4500</v>
      </c>
      <c r="D19" s="7">
        <v>4500</v>
      </c>
      <c r="E19" s="7">
        <v>4500</v>
      </c>
      <c r="F19" s="7">
        <v>4500</v>
      </c>
      <c r="G19" s="7">
        <v>4500</v>
      </c>
      <c r="H19" s="7">
        <v>4500</v>
      </c>
      <c r="I19" s="7">
        <v>4500</v>
      </c>
      <c r="J19" s="7">
        <v>4500</v>
      </c>
      <c r="K19" s="7">
        <v>4500</v>
      </c>
      <c r="L19" s="7">
        <v>4500</v>
      </c>
      <c r="M19" s="7">
        <v>4500</v>
      </c>
      <c r="N19" s="7">
        <v>4500</v>
      </c>
      <c r="O19" s="7">
        <v>54000</v>
      </c>
    </row>
    <row r="20" spans="1:15" x14ac:dyDescent="0.25">
      <c r="A20" t="s">
        <v>33</v>
      </c>
      <c r="B20" t="s">
        <v>27</v>
      </c>
      <c r="C20" s="7"/>
      <c r="D20" s="7"/>
      <c r="E20" s="7"/>
      <c r="F20" s="7"/>
      <c r="G20" s="7"/>
      <c r="H20" s="7"/>
      <c r="I20" s="7">
        <v>500</v>
      </c>
      <c r="J20" s="7">
        <v>500</v>
      </c>
      <c r="K20" s="7"/>
      <c r="L20" s="7"/>
      <c r="M20" s="7"/>
      <c r="N20" s="7"/>
      <c r="O20" s="7">
        <v>1000</v>
      </c>
    </row>
    <row r="21" spans="1:15" x14ac:dyDescent="0.25">
      <c r="A21" t="s">
        <v>51</v>
      </c>
      <c r="C21" s="7">
        <v>5655.5</v>
      </c>
      <c r="D21" s="7">
        <v>6565</v>
      </c>
      <c r="E21" s="7">
        <v>4655</v>
      </c>
      <c r="F21" s="7">
        <v>4700</v>
      </c>
      <c r="G21" s="7">
        <v>4500</v>
      </c>
      <c r="H21" s="7">
        <v>4900</v>
      </c>
      <c r="I21" s="7">
        <v>5920</v>
      </c>
      <c r="J21" s="7">
        <v>5400</v>
      </c>
      <c r="K21" s="7">
        <v>4500</v>
      </c>
      <c r="L21" s="7">
        <v>4500</v>
      </c>
      <c r="M21" s="7">
        <v>4900</v>
      </c>
      <c r="N21" s="7">
        <v>6500</v>
      </c>
      <c r="O21" s="7">
        <v>62695.5</v>
      </c>
    </row>
    <row r="22" spans="1:15" x14ac:dyDescent="0.25">
      <c r="A22" t="s">
        <v>31</v>
      </c>
      <c r="B22" t="s">
        <v>31</v>
      </c>
      <c r="C22" s="7"/>
      <c r="D22" s="7">
        <v>0</v>
      </c>
      <c r="E22" s="7"/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/>
      <c r="O22" s="7">
        <v>0</v>
      </c>
    </row>
    <row r="23" spans="1:15" x14ac:dyDescent="0.25">
      <c r="A23" t="s">
        <v>52</v>
      </c>
      <c r="C23" s="7"/>
      <c r="D23" s="7">
        <v>0</v>
      </c>
      <c r="E23" s="7"/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/>
      <c r="O23" s="7">
        <v>0</v>
      </c>
    </row>
    <row r="24" spans="1:15" x14ac:dyDescent="0.25">
      <c r="A24" t="s">
        <v>53</v>
      </c>
      <c r="C24" s="7">
        <v>845.5</v>
      </c>
      <c r="D24" s="7">
        <v>2464.5</v>
      </c>
      <c r="E24" s="7">
        <v>755.60999999999967</v>
      </c>
      <c r="F24" s="7">
        <v>726.84000000000015</v>
      </c>
      <c r="G24" s="7">
        <v>1290</v>
      </c>
      <c r="H24" s="7">
        <v>1170</v>
      </c>
      <c r="I24" s="7">
        <v>2915</v>
      </c>
      <c r="J24" s="7">
        <v>1410.5</v>
      </c>
      <c r="K24" s="7">
        <v>1751.5</v>
      </c>
      <c r="L24" s="7">
        <v>1670</v>
      </c>
      <c r="M24" s="7">
        <v>1400</v>
      </c>
      <c r="N24" s="7">
        <v>2420</v>
      </c>
      <c r="O24" s="7">
        <v>18819.449999999997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tabSelected="1" zoomScale="108" workbookViewId="0">
      <selection activeCell="N213" sqref="N213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  <row r="208" spans="1:7" x14ac:dyDescent="0.25">
      <c r="A208" s="2">
        <v>1020</v>
      </c>
      <c r="B208" s="1" t="s">
        <v>7</v>
      </c>
      <c r="C208" s="1" t="s">
        <v>8</v>
      </c>
      <c r="D208" s="1" t="s">
        <v>31</v>
      </c>
      <c r="E208" s="1" t="str">
        <f>_xlfn.XLOOKUP(operations[[#This Row],[Category]],categories[Category],categories[Type],"",0,1)</f>
        <v>Transfer</v>
      </c>
      <c r="F208" s="11">
        <v>45505</v>
      </c>
      <c r="G208" s="1">
        <f>MONTH(operations[[#This Row],[Date]])</f>
        <v>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Normal="100" workbookViewId="0">
      <selection activeCell="M22" sqref="M22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8.7109375" customWidth="1"/>
  </cols>
  <sheetData>
    <row r="1" spans="1:11" x14ac:dyDescent="0.25">
      <c r="A1" s="1" t="s">
        <v>3</v>
      </c>
      <c r="B1" t="s">
        <v>4</v>
      </c>
      <c r="F1" s="1" t="s">
        <v>0</v>
      </c>
      <c r="G1" s="1" t="s">
        <v>2</v>
      </c>
      <c r="I1" s="4" t="s">
        <v>11</v>
      </c>
      <c r="J1" s="4" t="s">
        <v>7</v>
      </c>
      <c r="K1" s="4" t="s">
        <v>13</v>
      </c>
    </row>
    <row r="2" spans="1:11" x14ac:dyDescent="0.25">
      <c r="A2" s="1" t="s">
        <v>18</v>
      </c>
      <c r="B2" t="s">
        <v>32</v>
      </c>
      <c r="F2" s="1" t="s">
        <v>11</v>
      </c>
      <c r="G2" s="1" t="s">
        <v>8</v>
      </c>
      <c r="I2" s="4" t="s">
        <v>8</v>
      </c>
      <c r="J2" s="4" t="s">
        <v>8</v>
      </c>
      <c r="K2" s="4" t="s">
        <v>15</v>
      </c>
    </row>
    <row r="3" spans="1:11" x14ac:dyDescent="0.25">
      <c r="A3" s="1" t="s">
        <v>22</v>
      </c>
      <c r="B3" t="s">
        <v>32</v>
      </c>
      <c r="F3" s="1" t="s">
        <v>11</v>
      </c>
      <c r="G3" s="1" t="s">
        <v>12</v>
      </c>
      <c r="I3" s="4" t="s">
        <v>12</v>
      </c>
      <c r="J3" s="4" t="s">
        <v>9</v>
      </c>
      <c r="K3" s="4" t="s">
        <v>14</v>
      </c>
    </row>
    <row r="4" spans="1:11" x14ac:dyDescent="0.25">
      <c r="A4" s="1" t="s">
        <v>20</v>
      </c>
      <c r="B4" t="s">
        <v>32</v>
      </c>
      <c r="F4" s="1" t="s">
        <v>7</v>
      </c>
      <c r="G4" s="1" t="s">
        <v>8</v>
      </c>
      <c r="I4" s="5"/>
      <c r="J4" s="4" t="s">
        <v>10</v>
      </c>
      <c r="K4" s="5"/>
    </row>
    <row r="5" spans="1:11" x14ac:dyDescent="0.25">
      <c r="A5" s="1" t="s">
        <v>17</v>
      </c>
      <c r="B5" t="s">
        <v>32</v>
      </c>
      <c r="F5" s="1" t="s">
        <v>7</v>
      </c>
      <c r="G5" s="1" t="s">
        <v>9</v>
      </c>
      <c r="I5" s="5"/>
      <c r="J5" s="5"/>
      <c r="K5" s="5"/>
    </row>
    <row r="6" spans="1:11" x14ac:dyDescent="0.25">
      <c r="A6" s="1" t="s">
        <v>21</v>
      </c>
      <c r="B6" t="s">
        <v>32</v>
      </c>
      <c r="F6" s="1" t="s">
        <v>7</v>
      </c>
      <c r="G6" s="1" t="s">
        <v>10</v>
      </c>
      <c r="I6" s="5"/>
      <c r="J6" s="5"/>
      <c r="K6" s="5"/>
    </row>
    <row r="7" spans="1:11" x14ac:dyDescent="0.25">
      <c r="A7" s="1" t="s">
        <v>19</v>
      </c>
      <c r="B7" t="s">
        <v>32</v>
      </c>
      <c r="F7" s="1" t="s">
        <v>13</v>
      </c>
      <c r="G7" s="1" t="s">
        <v>15</v>
      </c>
      <c r="I7" s="5"/>
      <c r="J7" s="5"/>
      <c r="K7" s="5"/>
    </row>
    <row r="8" spans="1:11" x14ac:dyDescent="0.25">
      <c r="A8" s="1" t="s">
        <v>24</v>
      </c>
      <c r="B8" t="s">
        <v>32</v>
      </c>
      <c r="F8" s="1" t="s">
        <v>13</v>
      </c>
      <c r="G8" s="1" t="s">
        <v>14</v>
      </c>
      <c r="I8" s="5"/>
      <c r="J8" s="5"/>
      <c r="K8" s="5"/>
    </row>
    <row r="9" spans="1:11" x14ac:dyDescent="0.25">
      <c r="A9" s="1" t="s">
        <v>23</v>
      </c>
      <c r="B9" t="s">
        <v>32</v>
      </c>
    </row>
    <row r="10" spans="1:11" x14ac:dyDescent="0.25">
      <c r="A10" s="1" t="s">
        <v>16</v>
      </c>
      <c r="B10" t="s">
        <v>32</v>
      </c>
    </row>
    <row r="11" spans="1:11" x14ac:dyDescent="0.25">
      <c r="A11" s="1" t="s">
        <v>25</v>
      </c>
      <c r="B11" t="s">
        <v>33</v>
      </c>
    </row>
    <row r="12" spans="1:11" x14ac:dyDescent="0.25">
      <c r="A12" s="1" t="s">
        <v>28</v>
      </c>
      <c r="B12" t="s">
        <v>33</v>
      </c>
    </row>
    <row r="13" spans="1:11" x14ac:dyDescent="0.25">
      <c r="A13" s="1" t="s">
        <v>29</v>
      </c>
      <c r="B13" t="s">
        <v>33</v>
      </c>
    </row>
    <row r="14" spans="1:11" x14ac:dyDescent="0.25">
      <c r="A14" s="1" t="s">
        <v>30</v>
      </c>
      <c r="B14" t="s">
        <v>33</v>
      </c>
    </row>
    <row r="15" spans="1:11" x14ac:dyDescent="0.25">
      <c r="A15" s="1" t="s">
        <v>26</v>
      </c>
      <c r="B15" t="s">
        <v>33</v>
      </c>
    </row>
    <row r="16" spans="1:11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31</v>
      </c>
    </row>
  </sheetData>
  <dataValidations count="2">
    <dataValidation type="list" allowBlank="1" showInputMessage="1" showErrorMessage="1" sqref="B1:B16 B18:B1048576" xr:uid="{D5592ECE-06AF-41BF-B12A-A053D0FCCA0B}">
      <formula1>"Income,Transfert, Expense"</formula1>
    </dataValidation>
    <dataValidation type="list" allowBlank="1" showInputMessage="1" showErrorMessage="1" sqref="B17" xr:uid="{68B452A8-AA74-4E09-B923-ADE16ABAF3AA}">
      <formula1>"Income,Transfer,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3A15-EC85-4A22-851D-913D7A05D630}">
  <dimension ref="A1:K17"/>
  <sheetViews>
    <sheetView workbookViewId="0">
      <selection activeCell="G20" sqref="G20"/>
    </sheetView>
  </sheetViews>
  <sheetFormatPr defaultRowHeight="15" x14ac:dyDescent="0.25"/>
  <cols>
    <col min="1" max="1" width="12" customWidth="1"/>
    <col min="2" max="2" width="20" customWidth="1"/>
    <col min="3" max="3" width="17.7109375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>
        <v>100</v>
      </c>
      <c r="D2" s="6">
        <f ca="1">SUMIFS(operations[Amount],operations[Bank],flow_1[[#This Row],[Bank]],operations[Product],flow_1[[#This Row],[Product]],operations[Month],$B$11)</f>
        <v>-35</v>
      </c>
      <c r="E2" s="6">
        <f ca="1">flow_1[[#This Row],[Opening balance]]+flow_1[[#This Row],[Operations]]</f>
        <v>65</v>
      </c>
      <c r="G2" t="s">
        <v>25</v>
      </c>
      <c r="H2" s="6">
        <f ca="1">SUMIFS(operations[Amount],operations[Month],$B$11,operations[Category],incomes_1[[#This Row],[Category]])</f>
        <v>250</v>
      </c>
      <c r="J2" t="s">
        <v>18</v>
      </c>
      <c r="K2" s="6">
        <f ca="1">SUMIFS(operations[Amount],operations[Month],$B$11,operations[Category],expenses_1[[#This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SUMIFS(operations[Amount],operations[Bank],flow_1[[#This Row],[Bank]],operations[Product],flow_1[[#This Row],[Product]],operations[Month],$B$11)</f>
        <v>255.5</v>
      </c>
      <c r="E3" s="6">
        <f ca="1">flow_1[[#This Row],[Opening balance]]+flow_1[[#This Row],[Operations]]</f>
        <v>266</v>
      </c>
      <c r="G3" t="s">
        <v>28</v>
      </c>
      <c r="H3" s="6">
        <f ca="1">SUMIFS(operations[Amount],operations[Month],$B$11,operations[Category],incomes_1[[#This Row],[Category]])</f>
        <v>105.5</v>
      </c>
      <c r="J3" t="s">
        <v>22</v>
      </c>
      <c r="K3" s="6">
        <f ca="1">SUMIFS(operations[Amount],operations[Month],$B$11,operations[Category],expenses_1[[#This Row],[Category]])</f>
        <v>-80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SUMIFS(operations[Amount],operations[Bank],flow_1[[#This Row],[Bank]],operations[Product],flow_1[[#This Row],[Product]],operations[Month],$B$11)</f>
        <v>1100</v>
      </c>
      <c r="E4" s="6">
        <f ca="1">flow_1[[#This Row],[Opening balance]]+flow_1[[#This Row],[Operations]]</f>
        <v>1700</v>
      </c>
      <c r="G4" t="s">
        <v>29</v>
      </c>
      <c r="H4" s="6">
        <f ca="1">SUMIFS(operations[Amount],operations[Month],$B$11,operations[Category],incomes_1[[#This Row],[Category]])</f>
        <v>0</v>
      </c>
      <c r="J4" t="s">
        <v>20</v>
      </c>
      <c r="K4" s="6">
        <f ca="1">SUMIFS(operations[Amount],operations[Month],$B$11,operations[Category],expenses_1[[#This Row],[Category]])</f>
        <v>-85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SUMIFS(operations[Amount],operations[Bank],flow_1[[#This Row],[Bank]],operations[Product],flow_1[[#This Row],[Product]],operations[Month],$B$11)</f>
        <v>-175</v>
      </c>
      <c r="E5" s="6">
        <f ca="1">flow_1[[#This Row],[Opening balance]]+flow_1[[#This Row],[Operations]]</f>
        <v>-175</v>
      </c>
      <c r="G5" t="s">
        <v>30</v>
      </c>
      <c r="H5" s="6">
        <f ca="1">SUMIFS(operations[Amount],operations[Month],$B$11,operations[Category],incomes_1[[#This Row],[Category]])</f>
        <v>800</v>
      </c>
      <c r="J5" t="s">
        <v>17</v>
      </c>
      <c r="K5" s="6">
        <f ca="1">SUMIFS(operations[Amount],operations[Month],$B$11,operations[Category],expenses_1[[#This Row],[Category]])</f>
        <v>-1715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SUMIFS(operations[Amount],operations[Bank],flow_1[[#This Row],[Bank]],operations[Product],flow_1[[#This Row],[Product]],operations[Month],$B$11)</f>
        <v>-400</v>
      </c>
      <c r="E6" s="6">
        <f ca="1">flow_1[[#This Row],[Opening balance]]+flow_1[[#This Row],[Operations]]</f>
        <v>1600</v>
      </c>
      <c r="G6" t="s">
        <v>26</v>
      </c>
      <c r="H6" s="6">
        <f ca="1">SUMIFS(operations[Amount],operations[Month],$B$11,operations[Category],incomes_1[[#This Row],[Category]])</f>
        <v>4500</v>
      </c>
      <c r="J6" t="s">
        <v>21</v>
      </c>
      <c r="K6" s="6">
        <f ca="1">SUMIFS(operations[Amount],operations[Month],$B$11,operations[Category],expenses_1[[#This Row],[Category]])</f>
        <v>-100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SUMIFS(operations[Amount],operations[Bank],flow_1[[#This Row],[Bank]],operations[Product],flow_1[[#This Row],[Product]],operations[Month],$B$11)</f>
        <v>-50</v>
      </c>
      <c r="E7" s="6">
        <f ca="1">flow_1[[#This Row],[Opening balance]]+flow_1[[#This Row],[Operations]]</f>
        <v>150</v>
      </c>
      <c r="G7" t="s">
        <v>27</v>
      </c>
      <c r="H7" s="6">
        <f ca="1">SUMIFS(operations[Amount],operations[Month],$B$11,operations[Category],incomes_1[[#This Row],[Category]])</f>
        <v>0</v>
      </c>
      <c r="J7" t="s">
        <v>19</v>
      </c>
      <c r="K7" s="6">
        <f ca="1">SUMIFS(operations[Amount],operations[Month],$B$11,operations[Category],expenses_1[[#This Row],[Category]])</f>
        <v>-150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SUMIFS(operations[Amount],operations[Bank],flow_1[[#This Row],[Bank]],operations[Product],flow_1[[#This Row],[Product]],operations[Month],$B$11)</f>
        <v>150</v>
      </c>
      <c r="E8" s="6">
        <f ca="1">flow_1[[#This Row],[Opening balance]]+flow_1[[#This Row],[Operations]]</f>
        <v>180</v>
      </c>
      <c r="G8" t="s">
        <v>37</v>
      </c>
      <c r="H8" s="6">
        <f ca="1">SUBTOTAL(109,incomes_1[Total])</f>
        <v>5655.5</v>
      </c>
      <c r="J8" t="s">
        <v>24</v>
      </c>
      <c r="K8" s="6">
        <f ca="1">SUMIFS(operations[Amount],operations[Month],$B$11,operations[Category],expenses_1[[#This Row],[Category]])</f>
        <v>-500</v>
      </c>
    </row>
    <row r="9" spans="1:11" x14ac:dyDescent="0.25">
      <c r="A9" s="1" t="s">
        <v>37</v>
      </c>
      <c r="B9" s="1"/>
      <c r="C9" s="6">
        <f>SUBTOTAL(109,flow_1[Opening balance])</f>
        <v>2940.5</v>
      </c>
      <c r="D9" s="6">
        <f ca="1">SUBTOTAL(109,flow_1[Operations])</f>
        <v>845.5</v>
      </c>
      <c r="E9" s="6">
        <f ca="1">SUBTOTAL(109,flow_1[Closing balance])</f>
        <v>3786</v>
      </c>
      <c r="J9" t="s">
        <v>23</v>
      </c>
      <c r="K9" s="6">
        <f ca="1">SUMIFS(operations[Amount],operations[Month],$B$11,operations[Category],expenses_1[[#This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SUMIFS(operations[Amount],operations[Month],$B$11,operations[Category],expenses_1[[#This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1</v>
      </c>
      <c r="J11" t="s">
        <v>37</v>
      </c>
      <c r="K11" s="6">
        <f ca="1">SUBTOTAL(109,expenses_1[Total])</f>
        <v>-4810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6">
        <f ca="1">SUMIFS(operations[Amount],operations[Month],$B$11,operations[Type],balance_1[[#This Row],[Type]])</f>
        <v>5655.5</v>
      </c>
    </row>
    <row r="16" spans="1:11" x14ac:dyDescent="0.25">
      <c r="A16" t="s">
        <v>31</v>
      </c>
      <c r="B16" s="6">
        <f ca="1">SUMIFS(operations[Amount],operations[Month],$B$11,operations[Type],balance_1[[#This Row],[Type]])</f>
        <v>0</v>
      </c>
    </row>
    <row r="17" spans="1:2" x14ac:dyDescent="0.25">
      <c r="A17" t="s">
        <v>37</v>
      </c>
      <c r="B17" s="6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80D3-9E30-4CE3-8449-716EC50B0EF6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65</v>
      </c>
      <c r="D2" s="6">
        <f ca="1">SUMIFS(operations[Amount],operations[Bank],flow_2[[#This Row],[Bank]],operations[Product],flow_2[[#This Row],[Product]],operations[Month],$B$11)</f>
        <v>35</v>
      </c>
      <c r="E2" s="6">
        <f ca="1">flow_2[[#This Row],[Opening balance]]+flow_2[[#This Row],[Operations]]</f>
        <v>100</v>
      </c>
      <c r="G2" t="s">
        <v>25</v>
      </c>
      <c r="H2" s="6">
        <f ca="1">SUMIFS(operations[Amount],operations[Month],$B$11,operations[Category],incomes_2[[#This Row],[Category]])</f>
        <v>0</v>
      </c>
      <c r="J2" t="s">
        <v>18</v>
      </c>
      <c r="K2" s="6">
        <f ca="1">SUMIFS(operations[Amount],operations[Month],$B$11,operations[Category],expenses_2[[#This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SUMIFS(operations[Amount],operations[Bank],flow_2[[#This Row],[Bank]],operations[Product],flow_2[[#This Row],[Product]],operations[Month],$B$11)</f>
        <v>15</v>
      </c>
      <c r="E3" s="6">
        <f ca="1">flow_2[[#This Row],[Opening balance]]+flow_2[[#This Row],[Operations]]</f>
        <v>25.5</v>
      </c>
      <c r="G3" t="s">
        <v>28</v>
      </c>
      <c r="H3" s="6">
        <f ca="1">SUMIFS(operations[Amount],operations[Month],$B$11,operations[Category],incomes_2[[#This Row],[Category]])</f>
        <v>115</v>
      </c>
      <c r="J3" t="s">
        <v>22</v>
      </c>
      <c r="K3" s="6">
        <f ca="1">SUMIFS(operations[Amount],operations[Month],$B$11,operations[Category],expenses_2[[#This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SUMIFS(operations[Amount],operations[Bank],flow_2[[#This Row],[Bank]],operations[Product],flow_2[[#This Row],[Product]],operations[Month],$B$11)</f>
        <v>2039.5</v>
      </c>
      <c r="E4" s="6">
        <f ca="1">flow_2[[#This Row],[Opening balance]]+flow_2[[#This Row],[Operations]]</f>
        <v>2639.5</v>
      </c>
      <c r="G4" t="s">
        <v>29</v>
      </c>
      <c r="H4" s="6">
        <f ca="1">SUMIFS(operations[Amount],operations[Month],$B$11,operations[Category],incomes_2[[#This Row],[Category]])</f>
        <v>0</v>
      </c>
      <c r="J4" t="s">
        <v>20</v>
      </c>
      <c r="K4" s="6">
        <f ca="1">SUMIFS(operations[Amount],operations[Month],$B$11,operations[Category],expenses_2[[#This Row],[Category]])</f>
        <v>-350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SUMIFS(operations[Amount],operations[Bank],flow_2[[#This Row],[Bank]],operations[Product],flow_2[[#This Row],[Product]],operations[Month],$B$11)</f>
        <v>175</v>
      </c>
      <c r="E5" s="6">
        <f ca="1">flow_2[[#This Row],[Opening balance]]+flow_2[[#This Row],[Operations]]</f>
        <v>175</v>
      </c>
      <c r="G5" t="s">
        <v>30</v>
      </c>
      <c r="H5" s="6">
        <f ca="1">SUMIFS(operations[Amount],operations[Month],$B$11,operations[Category],incomes_2[[#This Row],[Category]])</f>
        <v>1950</v>
      </c>
      <c r="J5" t="s">
        <v>17</v>
      </c>
      <c r="K5" s="6">
        <f ca="1">SUMIFS(operations[Amount],operations[Month],$B$11,operations[Category],expenses_2[[#This Row],[Category]])</f>
        <v>-405.5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SUMIFS(operations[Amount],operations[Bank],flow_2[[#This Row],[Bank]],operations[Product],flow_2[[#This Row],[Product]],operations[Month],$B$11)</f>
        <v>-400</v>
      </c>
      <c r="E6" s="6">
        <f ca="1">flow_2[[#This Row],[Opening balance]]+flow_2[[#This Row],[Operations]]</f>
        <v>1600</v>
      </c>
      <c r="G6" t="s">
        <v>26</v>
      </c>
      <c r="H6" s="6">
        <f ca="1">SUMIFS(operations[Amount],operations[Month],$B$11,operations[Category],incomes_2[[#This Row],[Category]])</f>
        <v>4500</v>
      </c>
      <c r="J6" t="s">
        <v>21</v>
      </c>
      <c r="K6" s="6">
        <f ca="1">SUMIFS(operations[Amount],operations[Month],$B$11,operations[Category],expenses_2[[#This Row],[Category]])</f>
        <v>-250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SUMIFS(operations[Amount],operations[Bank],flow_2[[#This Row],[Bank]],operations[Product],flow_2[[#This Row],[Product]],operations[Month],$B$11)</f>
        <v>100</v>
      </c>
      <c r="E7" s="6">
        <f ca="1">flow_2[[#This Row],[Opening balance]]+flow_2[[#This Row],[Operations]]</f>
        <v>300</v>
      </c>
      <c r="G7" t="s">
        <v>27</v>
      </c>
      <c r="H7" s="6">
        <f ca="1">SUMIFS(operations[Amount],operations[Month],$B$11,operations[Category],incomes_2[[#This Row],[Category]])</f>
        <v>0</v>
      </c>
      <c r="J7" t="s">
        <v>19</v>
      </c>
      <c r="K7" s="6">
        <f ca="1">SUMIFS(operations[Amount],operations[Month],$B$11,operations[Category],expenses_2[[#This Row],[Category]])</f>
        <v>-150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SUMIFS(operations[Amount],operations[Bank],flow_2[[#This Row],[Bank]],operations[Product],flow_2[[#This Row],[Product]],operations[Month],$B$11)</f>
        <v>500</v>
      </c>
      <c r="E8" s="6">
        <f ca="1">flow_2[[#This Row],[Opening balance]]+flow_2[[#This Row],[Operations]]</f>
        <v>530</v>
      </c>
      <c r="G8" t="s">
        <v>37</v>
      </c>
      <c r="H8" s="6">
        <f ca="1">SUBTOTAL(109,incomes_2[Total])</f>
        <v>6565</v>
      </c>
      <c r="J8" t="s">
        <v>24</v>
      </c>
      <c r="K8" s="6">
        <f ca="1">SUMIFS(operations[Amount],operations[Month],$B$11,operations[Category],expenses_2[[#This Row],[Category]])</f>
        <v>-765</v>
      </c>
    </row>
    <row r="9" spans="1:11" x14ac:dyDescent="0.25">
      <c r="A9" s="1" t="s">
        <v>37</v>
      </c>
      <c r="B9" s="1"/>
      <c r="C9" s="6">
        <f ca="1">SUBTOTAL(109,flow_2[Opening balance])</f>
        <v>2905.5</v>
      </c>
      <c r="D9" s="6">
        <f ca="1">SUBTOTAL(109,flow_2[Operations])</f>
        <v>2464.5</v>
      </c>
      <c r="E9" s="6">
        <f ca="1">SUBTOTAL(109,flow_2[Closing balance])</f>
        <v>5370</v>
      </c>
      <c r="J9" t="s">
        <v>23</v>
      </c>
      <c r="K9" s="6">
        <f ca="1">SUMIFS(operations[Amount],operations[Month],$B$11,operations[Category],expenses_2[[#This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SUMIFS(operations[Amount],operations[Month],$B$11,operations[Category],expenses_2[[#This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2</v>
      </c>
      <c r="J11" t="s">
        <v>37</v>
      </c>
      <c r="K11" s="6">
        <f ca="1">SUBTOTAL(109,expenses_2[Total])</f>
        <v>-4100.5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6">
        <f ca="1">SUMIFS(operations[Amount],operations[Month],$B$11,operations[Type],balance_2[[#This Row],[Type]])</f>
        <v>6565</v>
      </c>
    </row>
    <row r="16" spans="1:11" x14ac:dyDescent="0.25">
      <c r="A16" t="s">
        <v>31</v>
      </c>
      <c r="B16" s="6">
        <f ca="1">SUMIFS(operations[Amount],operations[Month],$B$11,operations[Type],balance_2[[#This Row],[Type]])</f>
        <v>0</v>
      </c>
    </row>
    <row r="17" spans="1:2" x14ac:dyDescent="0.25">
      <c r="A17" t="s">
        <v>37</v>
      </c>
      <c r="B17" s="6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9235-4054-4744-AAD6-14538A51DC64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100</v>
      </c>
      <c r="D2" s="6">
        <f ca="1">SUMIFS(operations[Amount],operations[Bank],flow_3[[#This Row],[Bank]],operations[Product],flow_3[[#This Row],[Product]],operations[Month],$B$11)</f>
        <v>67.5</v>
      </c>
      <c r="E2" s="6">
        <f ca="1">flow_3[[#This Row],[Opening balance]]+flow_3[[#This Row],[Operations]]</f>
        <v>167.5</v>
      </c>
      <c r="G2" t="s">
        <v>25</v>
      </c>
      <c r="H2" s="6">
        <f ca="1">SUMIFS(operations[Amount],operations[Month],$B$11,operations[Category],incomes_3[[#This Row],[Category]])</f>
        <v>0</v>
      </c>
      <c r="J2" t="s">
        <v>18</v>
      </c>
      <c r="K2" s="6">
        <f ca="1">SUMIFS(operations[Amount],operations[Month],$B$11,operations[Category],expenses_3[[#This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SUMIFS(operations[Amount],operations[Bank],flow_3[[#This Row],[Bank]],operations[Product],flow_3[[#This Row],[Product]],operations[Month],$B$11)</f>
        <v>5</v>
      </c>
      <c r="E3" s="6">
        <f ca="1">flow_3[[#This Row],[Opening balance]]+flow_3[[#This Row],[Operations]]</f>
        <v>15.5</v>
      </c>
      <c r="G3" t="s">
        <v>28</v>
      </c>
      <c r="H3" s="6">
        <f ca="1">SUMIFS(operations[Amount],operations[Month],$B$11,operations[Category],incomes_3[[#This Row],[Category]])</f>
        <v>150</v>
      </c>
      <c r="J3" t="s">
        <v>22</v>
      </c>
      <c r="K3" s="6">
        <f ca="1">SUMIFS(operations[Amount],operations[Month],$B$11,operations[Category],expenses_3[[#This Row],[Category]])</f>
        <v>-469.9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SUMIFS(operations[Amount],operations[Bank],flow_3[[#This Row],[Bank]],operations[Product],flow_3[[#This Row],[Product]],operations[Month],$B$11)</f>
        <v>821.59999999999991</v>
      </c>
      <c r="E4" s="6">
        <f ca="1">flow_3[[#This Row],[Opening balance]]+flow_3[[#This Row],[Operations]]</f>
        <v>1421.6</v>
      </c>
      <c r="G4" t="s">
        <v>29</v>
      </c>
      <c r="H4" s="6">
        <f ca="1">SUMIFS(operations[Amount],operations[Month],$B$11,operations[Category],incomes_3[[#This Row],[Category]])</f>
        <v>5</v>
      </c>
      <c r="J4" t="s">
        <v>20</v>
      </c>
      <c r="K4" s="6">
        <f ca="1">SUMIFS(operations[Amount],operations[Month],$B$11,operations[Category],expenses_3[[#This Row],[Category]])</f>
        <v>-200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SUMIFS(operations[Amount],operations[Bank],flow_3[[#This Row],[Bank]],operations[Product],flow_3[[#This Row],[Product]],operations[Month],$B$11)</f>
        <v>-104.5</v>
      </c>
      <c r="E5" s="6">
        <f ca="1">flow_3[[#This Row],[Opening balance]]+flow_3[[#This Row],[Operations]]</f>
        <v>-104.5</v>
      </c>
      <c r="G5" t="s">
        <v>30</v>
      </c>
      <c r="H5" s="6">
        <f ca="1">SUMIFS(operations[Amount],operations[Month],$B$11,operations[Category],incomes_3[[#This Row],[Category]])</f>
        <v>0</v>
      </c>
      <c r="J5" t="s">
        <v>17</v>
      </c>
      <c r="K5" s="6">
        <f ca="1">SUMIFS(operations[Amount],operations[Month],$B$11,operations[Category],expenses_3[[#This Row],[Category]])</f>
        <v>-734.99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SUMIFS(operations[Amount],operations[Bank],flow_3[[#This Row],[Bank]],operations[Product],flow_3[[#This Row],[Product]],operations[Month],$B$11)</f>
        <v>0</v>
      </c>
      <c r="E6" s="6">
        <f ca="1">flow_3[[#This Row],[Opening balance]]+flow_3[[#This Row],[Operations]]</f>
        <v>2000</v>
      </c>
      <c r="G6" t="s">
        <v>26</v>
      </c>
      <c r="H6" s="6">
        <f ca="1">SUMIFS(operations[Amount],operations[Month],$B$11,operations[Category],incomes_3[[#This Row],[Category]])</f>
        <v>4500</v>
      </c>
      <c r="J6" t="s">
        <v>21</v>
      </c>
      <c r="K6" s="6">
        <f ca="1">SUMIFS(operations[Amount],operations[Month],$B$11,operations[Category],expenses_3[[#This Row],[Category]])</f>
        <v>-9.5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SUMIFS(operations[Amount],operations[Bank],flow_3[[#This Row],[Bank]],operations[Product],flow_3[[#This Row],[Product]],operations[Month],$B$11)</f>
        <v>-24.49</v>
      </c>
      <c r="E7" s="6">
        <f ca="1">flow_3[[#This Row],[Opening balance]]+flow_3[[#This Row],[Operations]]</f>
        <v>175.51</v>
      </c>
      <c r="G7" t="s">
        <v>27</v>
      </c>
      <c r="H7" s="6">
        <f ca="1">SUMIFS(operations[Amount],operations[Month],$B$11,operations[Category],incomes_3[[#This Row],[Category]])</f>
        <v>0</v>
      </c>
      <c r="J7" t="s">
        <v>19</v>
      </c>
      <c r="K7" s="6">
        <f ca="1">SUMIFS(operations[Amount],operations[Month],$B$11,operations[Category],expenses_3[[#This Row],[Category]])</f>
        <v>-23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SUMIFS(operations[Amount],operations[Bank],flow_3[[#This Row],[Bank]],operations[Product],flow_3[[#This Row],[Product]],operations[Month],$B$11)</f>
        <v>-9.5</v>
      </c>
      <c r="E8" s="6">
        <f ca="1">flow_3[[#This Row],[Opening balance]]+flow_3[[#This Row],[Operations]]</f>
        <v>20.5</v>
      </c>
      <c r="G8" t="s">
        <v>37</v>
      </c>
      <c r="H8" s="6">
        <f ca="1">SUBTOTAL(109,incomes_3[Total])</f>
        <v>4655</v>
      </c>
      <c r="J8" t="s">
        <v>24</v>
      </c>
      <c r="K8" s="6">
        <f ca="1">SUMIFS(operations[Amount],operations[Month],$B$11,operations[Category],expenses_3[[#This Row],[Category]])</f>
        <v>-300</v>
      </c>
    </row>
    <row r="9" spans="1:11" x14ac:dyDescent="0.25">
      <c r="A9" s="1" t="s">
        <v>37</v>
      </c>
      <c r="B9" s="1"/>
      <c r="C9" s="6">
        <f ca="1">SUBTOTAL(109,flow_3[Opening balance])</f>
        <v>2940.5</v>
      </c>
      <c r="D9" s="6">
        <f ca="1">SUBTOTAL(109,flow_3[Operations])</f>
        <v>755.6099999999999</v>
      </c>
      <c r="E9" s="6">
        <f ca="1">SUBTOTAL(109,flow_3[Closing balance])</f>
        <v>3696.1099999999997</v>
      </c>
      <c r="J9" t="s">
        <v>23</v>
      </c>
      <c r="K9" s="6">
        <f ca="1">SUMIFS(operations[Amount],operations[Month],$B$11,operations[Category],expenses_3[[#This Row],[Category]])</f>
        <v>-79.5</v>
      </c>
    </row>
    <row r="10" spans="1:11" x14ac:dyDescent="0.25">
      <c r="J10" t="s">
        <v>16</v>
      </c>
      <c r="K10" s="6">
        <f ca="1">SUMIFS(operations[Amount],operations[Month],$B$11,operations[Category],expenses_3[[#This Row],[Category]])</f>
        <v>-82.5</v>
      </c>
    </row>
    <row r="11" spans="1:11" x14ac:dyDescent="0.25">
      <c r="A11" s="1" t="s">
        <v>6</v>
      </c>
      <c r="B11" t="str" cm="1">
        <f t="array" aca="1" ref="B11" ca="1">_xlfn.TEXTAFTER(CELL("filename",A1),"]")</f>
        <v>3</v>
      </c>
      <c r="J11" t="s">
        <v>37</v>
      </c>
      <c r="K11" s="6">
        <f ca="1">SUBTOTAL(109,expenses_3[Total])</f>
        <v>-3899.3900000000003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6">
        <f ca="1">SUMIFS(operations[Amount],operations[Month],$B$11,operations[Type],balance_3[[#This Row],[Type]])</f>
        <v>4655</v>
      </c>
    </row>
    <row r="16" spans="1:11" x14ac:dyDescent="0.25">
      <c r="A16" t="s">
        <v>31</v>
      </c>
      <c r="B16" s="6">
        <f ca="1">SUMIFS(operations[Amount],operations[Month],$B$11,operations[Type],balance_3[[#This Row],[Type]])</f>
        <v>0</v>
      </c>
    </row>
    <row r="17" spans="1:2" x14ac:dyDescent="0.25">
      <c r="A17" t="s">
        <v>37</v>
      </c>
      <c r="B17" s="6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1A93-111C-4CFC-90FF-5AAE071986C0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167.5</v>
      </c>
      <c r="D2" s="6">
        <f ca="1">SUMIFS(operations[Amount],operations[Bank],flow_4[[#This Row],[Bank]],operations[Product],flow_4[[#This Row],[Product]],operations[Month],$B$11)</f>
        <v>101</v>
      </c>
      <c r="E2" s="6">
        <f ca="1">flow_4[[#This Row],[Opening balance]]+flow_4[[#This Row],[Operations]]</f>
        <v>268.5</v>
      </c>
      <c r="G2" t="s">
        <v>25</v>
      </c>
      <c r="H2" s="6">
        <f ca="1">SUMIFS(operations[Amount],operations[Month],$B$11,operations[Category],incomes_4[[#This Row],[Category]])</f>
        <v>0</v>
      </c>
      <c r="J2" t="s">
        <v>18</v>
      </c>
      <c r="K2" s="6">
        <f ca="1">SUMIFS(operations[Amount],operations[Month],$B$11,operations[Category],expenses_4[[#This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SUMIFS(operations[Amount],operations[Bank],flow_4[[#This Row],[Bank]],operations[Product],flow_4[[#This Row],[Product]],operations[Month],$B$11)</f>
        <v>50</v>
      </c>
      <c r="E3" s="6">
        <f ca="1">flow_4[[#This Row],[Opening balance]]+flow_4[[#This Row],[Operations]]</f>
        <v>60.5</v>
      </c>
      <c r="G3" t="s">
        <v>28</v>
      </c>
      <c r="H3" s="6">
        <f ca="1">SUMIFS(operations[Amount],operations[Month],$B$11,operations[Category],incomes_4[[#This Row],[Category]])</f>
        <v>150</v>
      </c>
      <c r="J3" t="s">
        <v>22</v>
      </c>
      <c r="K3" s="6">
        <f ca="1">SUMIFS(operations[Amount],operations[Month],$B$11,operations[Category],expenses_4[[#This Row],[Category]])</f>
        <v>-149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SUMIFS(operations[Amount],operations[Bank],flow_4[[#This Row],[Bank]],operations[Product],flow_4[[#This Row],[Product]],operations[Month],$B$11)</f>
        <v>562.72999999999968</v>
      </c>
      <c r="E4" s="6">
        <f ca="1">flow_4[[#This Row],[Opening balance]]+flow_4[[#This Row],[Operations]]</f>
        <v>1162.7299999999996</v>
      </c>
      <c r="G4" t="s">
        <v>29</v>
      </c>
      <c r="H4" s="6">
        <f ca="1">SUMIFS(operations[Amount],operations[Month],$B$11,operations[Category],incomes_4[[#This Row],[Category]])</f>
        <v>50</v>
      </c>
      <c r="J4" t="s">
        <v>20</v>
      </c>
      <c r="K4" s="6">
        <f ca="1">SUMIFS(operations[Amount],operations[Month],$B$11,operations[Category],expenses_4[[#This Row],[Category]])</f>
        <v>-1057.9000000000001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SUMIFS(operations[Amount],operations[Bank],flow_4[[#This Row],[Bank]],operations[Product],flow_4[[#This Row],[Product]],operations[Month],$B$11)</f>
        <v>13.110000000000007</v>
      </c>
      <c r="E5" s="6">
        <f ca="1">flow_4[[#This Row],[Opening balance]]+flow_4[[#This Row],[Operations]]</f>
        <v>13.110000000000007</v>
      </c>
      <c r="G5" t="s">
        <v>30</v>
      </c>
      <c r="H5" s="6">
        <f ca="1">SUMIFS(operations[Amount],operations[Month],$B$11,operations[Category],incomes_4[[#This Row],[Category]])</f>
        <v>0</v>
      </c>
      <c r="J5" t="s">
        <v>17</v>
      </c>
      <c r="K5" s="6">
        <f ca="1">SUMIFS(operations[Amount],operations[Month],$B$11,operations[Category],expenses_4[[#This Row],[Category]])</f>
        <v>-372.26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SUMIFS(operations[Amount],operations[Bank],flow_4[[#This Row],[Bank]],operations[Product],flow_4[[#This Row],[Product]],operations[Month],$B$11)</f>
        <v>0</v>
      </c>
      <c r="E6" s="6">
        <f ca="1">flow_4[[#This Row],[Opening balance]]+flow_4[[#This Row],[Operations]]</f>
        <v>2000</v>
      </c>
      <c r="G6" t="s">
        <v>26</v>
      </c>
      <c r="H6" s="6">
        <f ca="1">SUMIFS(operations[Amount],operations[Month],$B$11,operations[Category],incomes_4[[#This Row],[Category]])</f>
        <v>4500</v>
      </c>
      <c r="J6" t="s">
        <v>21</v>
      </c>
      <c r="K6" s="6">
        <f ca="1">SUMIFS(operations[Amount],operations[Month],$B$11,operations[Category],expenses_4[[#This Row],[Category]])</f>
        <v>-23.5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SUMIFS(operations[Amount],operations[Bank],flow_4[[#This Row],[Bank]],operations[Product],flow_4[[#This Row],[Product]],operations[Month],$B$11)</f>
        <v>0</v>
      </c>
      <c r="E7" s="6">
        <f ca="1">flow_4[[#This Row],[Opening balance]]+flow_4[[#This Row],[Operations]]</f>
        <v>200</v>
      </c>
      <c r="G7" t="s">
        <v>27</v>
      </c>
      <c r="H7" s="6">
        <f ca="1">SUMIFS(operations[Amount],operations[Month],$B$11,operations[Category],incomes_4[[#This Row],[Category]])</f>
        <v>0</v>
      </c>
      <c r="J7" t="s">
        <v>19</v>
      </c>
      <c r="K7" s="6">
        <f ca="1">SUMIFS(operations[Amount],operations[Month],$B$11,operations[Category],expenses_4[[#This Row],[Category]])</f>
        <v>-49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SUMIFS(operations[Amount],operations[Bank],flow_4[[#This Row],[Bank]],operations[Product],flow_4[[#This Row],[Product]],operations[Month],$B$11)</f>
        <v>0</v>
      </c>
      <c r="E8" s="6">
        <f ca="1">flow_4[[#This Row],[Opening balance]]+flow_4[[#This Row],[Operations]]</f>
        <v>30</v>
      </c>
      <c r="G8" t="s">
        <v>37</v>
      </c>
      <c r="H8" s="6">
        <f ca="1">SUBTOTAL(109,incomes_4[Total])</f>
        <v>4700</v>
      </c>
      <c r="J8" t="s">
        <v>24</v>
      </c>
      <c r="K8" s="6">
        <f ca="1">SUMIFS(operations[Amount],operations[Month],$B$11,operations[Category],expenses_4[[#This Row],[Category]])</f>
        <v>-100</v>
      </c>
    </row>
    <row r="9" spans="1:11" x14ac:dyDescent="0.25">
      <c r="A9" s="1" t="s">
        <v>37</v>
      </c>
      <c r="B9" s="1"/>
      <c r="C9" s="6">
        <f ca="1">SUBTOTAL(109,flow_4[Opening balance])</f>
        <v>3008</v>
      </c>
      <c r="D9" s="6">
        <f ca="1">SUBTOTAL(109,flow_4[Operations])</f>
        <v>726.83999999999969</v>
      </c>
      <c r="E9" s="6">
        <f ca="1">SUBTOTAL(109,flow_4[Closing balance])</f>
        <v>3734.8399999999992</v>
      </c>
      <c r="J9" t="s">
        <v>23</v>
      </c>
      <c r="K9" s="6">
        <f ca="1">SUMIFS(operations[Amount],operations[Month],$B$11,operations[Category],expenses_4[[#This Row],[Category]])</f>
        <v>-139</v>
      </c>
    </row>
    <row r="10" spans="1:11" x14ac:dyDescent="0.25">
      <c r="J10" t="s">
        <v>16</v>
      </c>
      <c r="K10" s="6">
        <f ca="1">SUMIFS(operations[Amount],operations[Month],$B$11,operations[Category],expenses_4[[#This Row],[Category]])</f>
        <v>-82.5</v>
      </c>
    </row>
    <row r="11" spans="1:11" x14ac:dyDescent="0.25">
      <c r="A11" s="1" t="s">
        <v>6</v>
      </c>
      <c r="B11" t="str" cm="1">
        <f t="array" aca="1" ref="B11" ca="1">_xlfn.TEXTAFTER(CELL("filename",A1),"]")</f>
        <v>4</v>
      </c>
      <c r="J11" t="s">
        <v>37</v>
      </c>
      <c r="K11" s="6">
        <f ca="1">SUBTOTAL(109,expenses_4[Total])</f>
        <v>-3973.16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6">
        <f ca="1">SUMIFS(operations[Amount],operations[Month],$B$11,operations[Type],balance_4[[#This Row],[Type]])</f>
        <v>4700</v>
      </c>
    </row>
    <row r="16" spans="1:11" x14ac:dyDescent="0.25">
      <c r="A16" t="s">
        <v>31</v>
      </c>
      <c r="B16" s="6">
        <f ca="1">SUMIFS(operations[Amount],operations[Month],$B$11,operations[Type],balance_4[[#This Row],[Type]])</f>
        <v>0</v>
      </c>
    </row>
    <row r="17" spans="1:2" x14ac:dyDescent="0.25">
      <c r="A17" t="s">
        <v>37</v>
      </c>
      <c r="B17" s="6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104F-F640-4D58-A1DC-35D6D40943B0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268.5</v>
      </c>
      <c r="D2" s="6">
        <f ca="1">SUMIFS(operations[Amount],operations[Bank],flow_5[[#This Row],[Bank]],operations[Product],flow_5[[#This Row],[Product]],operations[Month],$B$11)</f>
        <v>-50</v>
      </c>
      <c r="E2" s="6">
        <f ca="1">flow_5[[#This Row],[Opening balance]]+flow_5[[#This Row],[Operations]]</f>
        <v>218.5</v>
      </c>
      <c r="G2" t="s">
        <v>25</v>
      </c>
      <c r="H2" s="6">
        <f ca="1">SUMIFS(operations[Amount],operations[Month],$B$11,operations[Category],incomes_5[[#This Row],[Category]])</f>
        <v>0</v>
      </c>
      <c r="J2" t="s">
        <v>18</v>
      </c>
      <c r="K2" s="6">
        <f ca="1">SUMIFS(operations[Amount],operations[Month],$B$11,operations[Category],expenses_5[[#This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SUMIFS(operations[Amount],operations[Bank],flow_5[[#This Row],[Bank]],operations[Product],flow_5[[#This Row],[Product]],operations[Month],$B$11)</f>
        <v>0</v>
      </c>
      <c r="E3" s="6">
        <f ca="1">flow_5[[#This Row],[Opening balance]]+flow_5[[#This Row],[Operations]]</f>
        <v>10.5</v>
      </c>
      <c r="G3" t="s">
        <v>28</v>
      </c>
      <c r="H3" s="6">
        <f ca="1">SUMIFS(operations[Amount],operations[Month],$B$11,operations[Category],incomes_5[[#This Row],[Category]])</f>
        <v>0</v>
      </c>
      <c r="J3" t="s">
        <v>22</v>
      </c>
      <c r="K3" s="6">
        <f ca="1">SUMIFS(operations[Amount],operations[Month],$B$11,operations[Category],expenses_5[[#This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SUMIFS(operations[Amount],operations[Bank],flow_5[[#This Row],[Bank]],operations[Product],flow_5[[#This Row],[Product]],operations[Month],$B$11)</f>
        <v>2328.61</v>
      </c>
      <c r="E4" s="6">
        <f ca="1">flow_5[[#This Row],[Opening balance]]+flow_5[[#This Row],[Operations]]</f>
        <v>2928.61</v>
      </c>
      <c r="G4" t="s">
        <v>29</v>
      </c>
      <c r="H4" s="6">
        <f ca="1">SUMIFS(operations[Amount],operations[Month],$B$11,operations[Category],incomes_5[[#This Row],[Category]])</f>
        <v>0</v>
      </c>
      <c r="J4" t="s">
        <v>20</v>
      </c>
      <c r="K4" s="6">
        <f ca="1">SUMIFS(operations[Amount],operations[Month],$B$11,operations[Category],expenses_5[[#This Row],[Category]])</f>
        <v>-80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SUMIFS(operations[Amount],operations[Bank],flow_5[[#This Row],[Bank]],operations[Product],flow_5[[#This Row],[Product]],operations[Month],$B$11)</f>
        <v>-908.61</v>
      </c>
      <c r="E5" s="6">
        <f ca="1">flow_5[[#This Row],[Opening balance]]+flow_5[[#This Row],[Operations]]</f>
        <v>-908.61</v>
      </c>
      <c r="G5" t="s">
        <v>30</v>
      </c>
      <c r="H5" s="6">
        <f ca="1">SUMIFS(operations[Amount],operations[Month],$B$11,operations[Category],incomes_5[[#This Row],[Category]])</f>
        <v>0</v>
      </c>
      <c r="J5" t="s">
        <v>17</v>
      </c>
      <c r="K5" s="6">
        <f ca="1">SUMIFS(operations[Amount],operations[Month],$B$11,operations[Category],expenses_5[[#This Row],[Category]])</f>
        <v>-1000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SUMIFS(operations[Amount],operations[Bank],flow_5[[#This Row],[Bank]],operations[Product],flow_5[[#This Row],[Product]],operations[Month],$B$11)</f>
        <v>0</v>
      </c>
      <c r="E6" s="6">
        <f ca="1">flow_5[[#This Row],[Opening balance]]+flow_5[[#This Row],[Operations]]</f>
        <v>2000</v>
      </c>
      <c r="G6" t="s">
        <v>26</v>
      </c>
      <c r="H6" s="6">
        <f ca="1">SUMIFS(operations[Amount],operations[Month],$B$11,operations[Category],incomes_5[[#This Row],[Category]])</f>
        <v>4500</v>
      </c>
      <c r="J6" t="s">
        <v>21</v>
      </c>
      <c r="K6" s="6">
        <f ca="1">SUMIFS(operations[Amount],operations[Month],$B$11,operations[Category],expenses_5[[#This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SUMIFS(operations[Amount],operations[Bank],flow_5[[#This Row],[Bank]],operations[Product],flow_5[[#This Row],[Product]],operations[Month],$B$11)</f>
        <v>0</v>
      </c>
      <c r="E7" s="6">
        <f ca="1">flow_5[[#This Row],[Opening balance]]+flow_5[[#This Row],[Operations]]</f>
        <v>200</v>
      </c>
      <c r="G7" t="s">
        <v>27</v>
      </c>
      <c r="H7" s="6">
        <f ca="1">SUMIFS(operations[Amount],operations[Month],$B$11,operations[Category],incomes_5[[#This Row],[Category]])</f>
        <v>0</v>
      </c>
      <c r="J7" t="s">
        <v>19</v>
      </c>
      <c r="K7" s="6">
        <f ca="1">SUMIFS(operations[Amount],operations[Month],$B$11,operations[Category],expenses_5[[#This Row],[Category]])</f>
        <v>-50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SUMIFS(operations[Amount],operations[Bank],flow_5[[#This Row],[Bank]],operations[Product],flow_5[[#This Row],[Product]],operations[Month],$B$11)</f>
        <v>-80</v>
      </c>
      <c r="E8" s="6">
        <f ca="1">flow_5[[#This Row],[Opening balance]]+flow_5[[#This Row],[Operations]]</f>
        <v>-50</v>
      </c>
      <c r="G8" t="s">
        <v>37</v>
      </c>
      <c r="H8" s="6">
        <f ca="1">SUBTOTAL(109,incomes_5[Total])</f>
        <v>4500</v>
      </c>
      <c r="J8" t="s">
        <v>24</v>
      </c>
      <c r="K8" s="6">
        <f ca="1">SUMIFS(operations[Amount],operations[Month],$B$11,operations[Category],expenses_5[[#This Row],[Category]])</f>
        <v>0</v>
      </c>
    </row>
    <row r="9" spans="1:11" x14ac:dyDescent="0.25">
      <c r="A9" s="1" t="s">
        <v>37</v>
      </c>
      <c r="B9" s="1"/>
      <c r="C9" s="6">
        <f ca="1">SUBTOTAL(109,flow_5[Opening balance])</f>
        <v>3109</v>
      </c>
      <c r="D9" s="6">
        <f ca="1">SUBTOTAL(109,flow_5[Operations])</f>
        <v>1290</v>
      </c>
      <c r="E9" s="6">
        <f ca="1">SUBTOTAL(109,flow_5[Closing balance])</f>
        <v>4399</v>
      </c>
      <c r="J9" t="s">
        <v>23</v>
      </c>
      <c r="K9" s="6">
        <f ca="1">SUMIFS(operations[Amount],operations[Month],$B$11,operations[Category],expenses_5[[#This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SUMIFS(operations[Amount],operations[Month],$B$11,operations[Category],expenses_5[[#This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5</v>
      </c>
      <c r="J11" t="s">
        <v>37</v>
      </c>
      <c r="K11" s="6">
        <f ca="1">SUBTOTAL(109,expenses_5[Total])</f>
        <v>-3210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6">
        <f ca="1">SUMIFS(operations[Amount],operations[Month],$B$11,operations[Type],balance_5[[#This Row],[Type]])</f>
        <v>4500</v>
      </c>
    </row>
    <row r="16" spans="1:11" x14ac:dyDescent="0.25">
      <c r="A16" t="s">
        <v>31</v>
      </c>
      <c r="B16" s="6">
        <f ca="1">SUMIFS(operations[Amount],operations[Month],$B$11,operations[Type],balance_5[[#This Row],[Type]])</f>
        <v>0</v>
      </c>
    </row>
    <row r="17" spans="1:2" x14ac:dyDescent="0.25">
      <c r="A17" t="s">
        <v>37</v>
      </c>
      <c r="B17" s="6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3B92-46A4-43D6-BA01-9FB50CBF568F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218.5</v>
      </c>
      <c r="D2" s="6">
        <f ca="1">SUMIFS(operations[Amount],operations[Bank],flow_6[[#This Row],[Bank]],operations[Product],flow_6[[#This Row],[Product]],operations[Month],$B$11)</f>
        <v>250</v>
      </c>
      <c r="E2" s="6">
        <f ca="1">flow_6[[#This Row],[Opening balance]]+flow_6[[#This Row],[Operations]]</f>
        <v>468.5</v>
      </c>
      <c r="G2" t="s">
        <v>25</v>
      </c>
      <c r="H2" s="6">
        <f ca="1">SUMIFS(operations[Amount],operations[Month],$B$11,operations[Category],incomes_6[[#This Row],[Category]])</f>
        <v>400</v>
      </c>
      <c r="J2" t="s">
        <v>18</v>
      </c>
      <c r="K2" s="6">
        <f ca="1">SUMIFS(operations[Amount],operations[Month],$B$11,operations[Category],expenses_6[[#This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SUMIFS(operations[Amount],operations[Bank],flow_6[[#This Row],[Bank]],operations[Product],flow_6[[#This Row],[Product]],operations[Month],$B$11)</f>
        <v>0</v>
      </c>
      <c r="E3" s="6">
        <f ca="1">flow_6[[#This Row],[Opening balance]]+flow_6[[#This Row],[Operations]]</f>
        <v>10.5</v>
      </c>
      <c r="G3" t="s">
        <v>28</v>
      </c>
      <c r="H3" s="6">
        <f ca="1">SUMIFS(operations[Amount],operations[Month],$B$11,operations[Category],incomes_6[[#This Row],[Category]])</f>
        <v>0</v>
      </c>
      <c r="J3" t="s">
        <v>22</v>
      </c>
      <c r="K3" s="6">
        <f ca="1">SUMIFS(operations[Amount],operations[Month],$B$11,operations[Category],expenses_6[[#This Row],[Category]])</f>
        <v>-300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SUMIFS(operations[Amount],operations[Bank],flow_6[[#This Row],[Bank]],operations[Product],flow_6[[#This Row],[Product]],operations[Month],$B$11)</f>
        <v>1420</v>
      </c>
      <c r="E4" s="6">
        <f ca="1">flow_6[[#This Row],[Opening balance]]+flow_6[[#This Row],[Operations]]</f>
        <v>2020</v>
      </c>
      <c r="G4" t="s">
        <v>29</v>
      </c>
      <c r="H4" s="6">
        <f ca="1">SUMIFS(operations[Amount],operations[Month],$B$11,operations[Category],incomes_6[[#This Row],[Category]])</f>
        <v>0</v>
      </c>
      <c r="J4" t="s">
        <v>20</v>
      </c>
      <c r="K4" s="6">
        <f ca="1">SUMIFS(operations[Amount],operations[Month],$B$11,operations[Category],expenses_6[[#This Row],[Category]])</f>
        <v>-200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SUMIFS(operations[Amount],operations[Bank],flow_6[[#This Row],[Bank]],operations[Product],flow_6[[#This Row],[Product]],operations[Month],$B$11)</f>
        <v>-300</v>
      </c>
      <c r="E5" s="6">
        <f ca="1">flow_6[[#This Row],[Opening balance]]+flow_6[[#This Row],[Operations]]</f>
        <v>-300</v>
      </c>
      <c r="G5" t="s">
        <v>30</v>
      </c>
      <c r="H5" s="6">
        <f ca="1">SUMIFS(operations[Amount],operations[Month],$B$11,operations[Category],incomes_6[[#This Row],[Category]])</f>
        <v>0</v>
      </c>
      <c r="J5" t="s">
        <v>17</v>
      </c>
      <c r="K5" s="6">
        <f ca="1">SUMIFS(operations[Amount],operations[Month],$B$11,operations[Category],expenses_6[[#This Row],[Category]])</f>
        <v>-1000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SUMIFS(operations[Amount],operations[Bank],flow_6[[#This Row],[Bank]],operations[Product],flow_6[[#This Row],[Product]],operations[Month],$B$11)</f>
        <v>0</v>
      </c>
      <c r="E6" s="6">
        <f ca="1">flow_6[[#This Row],[Opening balance]]+flow_6[[#This Row],[Operations]]</f>
        <v>2000</v>
      </c>
      <c r="G6" t="s">
        <v>26</v>
      </c>
      <c r="H6" s="6">
        <f ca="1">SUMIFS(operations[Amount],operations[Month],$B$11,operations[Category],incomes_6[[#This Row],[Category]])</f>
        <v>4500</v>
      </c>
      <c r="J6" t="s">
        <v>21</v>
      </c>
      <c r="K6" s="6">
        <f ca="1">SUMIFS(operations[Amount],operations[Month],$B$11,operations[Category],expenses_6[[#This Row],[Category]])</f>
        <v>-100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SUMIFS(operations[Amount],operations[Bank],flow_6[[#This Row],[Bank]],operations[Product],flow_6[[#This Row],[Product]],operations[Month],$B$11)</f>
        <v>0</v>
      </c>
      <c r="E7" s="6">
        <f ca="1">flow_6[[#This Row],[Opening balance]]+flow_6[[#This Row],[Operations]]</f>
        <v>200</v>
      </c>
      <c r="G7" t="s">
        <v>27</v>
      </c>
      <c r="H7" s="6">
        <f ca="1">SUMIFS(operations[Amount],operations[Month],$B$11,operations[Category],incomes_6[[#This Row],[Category]])</f>
        <v>0</v>
      </c>
      <c r="J7" t="s">
        <v>19</v>
      </c>
      <c r="K7" s="6">
        <f ca="1">SUMIFS(operations[Amount],operations[Month],$B$11,operations[Category],expenses_6[[#This Row],[Category]])</f>
        <v>-50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SUMIFS(operations[Amount],operations[Bank],flow_6[[#This Row],[Bank]],operations[Product],flow_6[[#This Row],[Product]],operations[Month],$B$11)</f>
        <v>-200</v>
      </c>
      <c r="E8" s="6">
        <f ca="1">flow_6[[#This Row],[Opening balance]]+flow_6[[#This Row],[Operations]]</f>
        <v>-170</v>
      </c>
      <c r="G8" t="s">
        <v>37</v>
      </c>
      <c r="H8" s="6">
        <f ca="1">SUBTOTAL(109,incomes_6[Total])</f>
        <v>4900</v>
      </c>
      <c r="J8" t="s">
        <v>24</v>
      </c>
      <c r="K8" s="6">
        <f ca="1">SUMIFS(operations[Amount],operations[Month],$B$11,operations[Category],expenses_6[[#This Row],[Category]])</f>
        <v>0</v>
      </c>
    </row>
    <row r="9" spans="1:11" x14ac:dyDescent="0.25">
      <c r="A9" s="1" t="s">
        <v>37</v>
      </c>
      <c r="B9" s="1"/>
      <c r="C9" s="6">
        <f ca="1">SUBTOTAL(109,flow_6[Opening balance])</f>
        <v>3059</v>
      </c>
      <c r="D9" s="6">
        <f ca="1">SUBTOTAL(109,flow_6[Operations])</f>
        <v>1170</v>
      </c>
      <c r="E9" s="6">
        <f ca="1">SUBTOTAL(109,flow_6[Closing balance])</f>
        <v>4229</v>
      </c>
      <c r="J9" t="s">
        <v>23</v>
      </c>
      <c r="K9" s="6">
        <f ca="1">SUMIFS(operations[Amount],operations[Month],$B$11,operations[Category],expenses_6[[#This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SUMIFS(operations[Amount],operations[Month],$B$11,operations[Category],expenses_6[[#This Row],[Category]])</f>
        <v>-80</v>
      </c>
    </row>
    <row r="11" spans="1:11" x14ac:dyDescent="0.25">
      <c r="A11" s="1" t="s">
        <v>6</v>
      </c>
      <c r="B11" t="str" cm="1">
        <f t="array" aca="1" ref="B11" ca="1">_xlfn.TEXTAFTER(CELL("filename",A1),"]")</f>
        <v>6</v>
      </c>
      <c r="J11" t="s">
        <v>37</v>
      </c>
      <c r="K11" s="6">
        <f ca="1">SUBTOTAL(109,expenses_6[Total])</f>
        <v>-3730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6">
        <f ca="1">SUMIFS(operations[Amount],operations[Month],$B$11,operations[Type],balance_6[[#This Row],[Type]])</f>
        <v>4900</v>
      </c>
    </row>
    <row r="16" spans="1:11" x14ac:dyDescent="0.25">
      <c r="A16" t="s">
        <v>31</v>
      </c>
      <c r="B16" s="6">
        <f ca="1">SUMIFS(operations[Amount],operations[Month],$B$11,operations[Type],balance_6[[#This Row],[Type]])</f>
        <v>0</v>
      </c>
    </row>
    <row r="17" spans="1:2" x14ac:dyDescent="0.25">
      <c r="A17" t="s">
        <v>37</v>
      </c>
      <c r="B17" s="6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D73E-B1C1-4FCB-9FA9-25BF2EB981FE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468.5</v>
      </c>
      <c r="D2" s="6">
        <f ca="1">SUMIFS(operations[Amount],operations[Bank],flow_7[[#This Row],[Bank]],operations[Product],flow_7[[#This Row],[Product]],operations[Month],$B$11)</f>
        <v>-100</v>
      </c>
      <c r="E2" s="6">
        <f ca="1">flow_7[[#This Row],[Opening balance]]+flow_7[[#This Row],[Operations]]</f>
        <v>368.5</v>
      </c>
      <c r="G2" t="s">
        <v>25</v>
      </c>
      <c r="H2" s="6">
        <f ca="1">SUMIFS(operations[Amount],operations[Month],$B$11,operations[Category],incomes_7[[#This Row],[Category]])</f>
        <v>0</v>
      </c>
      <c r="J2" t="s">
        <v>18</v>
      </c>
      <c r="K2" s="6">
        <f ca="1">SUMIFS(operations[Amount],operations[Month],$B$11,operations[Category],expenses_7[[#This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SUMIFS(operations[Amount],operations[Bank],flow_7[[#This Row],[Bank]],operations[Product],flow_7[[#This Row],[Product]],operations[Month],$B$11)</f>
        <v>1050</v>
      </c>
      <c r="E3" s="6">
        <f ca="1">flow_7[[#This Row],[Opening balance]]+flow_7[[#This Row],[Operations]]</f>
        <v>1060.5</v>
      </c>
      <c r="G3" t="s">
        <v>28</v>
      </c>
      <c r="H3" s="6">
        <f ca="1">SUMIFS(operations[Amount],operations[Month],$B$11,operations[Category],incomes_7[[#This Row],[Category]])</f>
        <v>120</v>
      </c>
      <c r="J3" t="s">
        <v>22</v>
      </c>
      <c r="K3" s="6">
        <f ca="1">SUMIFS(operations[Amount],operations[Month],$B$11,operations[Category],expenses_7[[#This Row],[Category]])</f>
        <v>250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SUMIFS(operations[Amount],operations[Bank],flow_7[[#This Row],[Bank]],operations[Product],flow_7[[#This Row],[Product]],operations[Month],$B$11)</f>
        <v>1010</v>
      </c>
      <c r="E4" s="6">
        <f ca="1">flow_7[[#This Row],[Opening balance]]+flow_7[[#This Row],[Operations]]</f>
        <v>1610</v>
      </c>
      <c r="G4" t="s">
        <v>29</v>
      </c>
      <c r="H4" s="6">
        <f ca="1">SUMIFS(operations[Amount],operations[Month],$B$11,operations[Category],incomes_7[[#This Row],[Category]])</f>
        <v>800</v>
      </c>
      <c r="J4" t="s">
        <v>20</v>
      </c>
      <c r="K4" s="6">
        <f ca="1">SUMIFS(operations[Amount],operations[Month],$B$11,operations[Category],expenses_7[[#This Row],[Category]])</f>
        <v>-700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SUMIFS(operations[Amount],operations[Bank],flow_7[[#This Row],[Bank]],operations[Product],flow_7[[#This Row],[Product]],operations[Month],$B$11)</f>
        <v>1165</v>
      </c>
      <c r="E5" s="6">
        <f ca="1">flow_7[[#This Row],[Opening balance]]+flow_7[[#This Row],[Operations]]</f>
        <v>1165</v>
      </c>
      <c r="G5" t="s">
        <v>30</v>
      </c>
      <c r="H5" s="6">
        <f ca="1">SUMIFS(operations[Amount],operations[Month],$B$11,operations[Category],incomes_7[[#This Row],[Category]])</f>
        <v>0</v>
      </c>
      <c r="J5" t="s">
        <v>17</v>
      </c>
      <c r="K5" s="6">
        <f ca="1">SUMIFS(operations[Amount],operations[Month],$B$11,operations[Category],expenses_7[[#This Row],[Category]])</f>
        <v>-165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SUMIFS(operations[Amount],operations[Bank],flow_7[[#This Row],[Bank]],operations[Product],flow_7[[#This Row],[Product]],operations[Month],$B$11)</f>
        <v>-180</v>
      </c>
      <c r="E6" s="6">
        <f ca="1">flow_7[[#This Row],[Opening balance]]+flow_7[[#This Row],[Operations]]</f>
        <v>1820</v>
      </c>
      <c r="G6" t="s">
        <v>26</v>
      </c>
      <c r="H6" s="6">
        <f ca="1">SUMIFS(operations[Amount],operations[Month],$B$11,operations[Category],incomes_7[[#This Row],[Category]])</f>
        <v>4500</v>
      </c>
      <c r="J6" t="s">
        <v>21</v>
      </c>
      <c r="K6" s="6">
        <f ca="1">SUMIFS(operations[Amount],operations[Month],$B$11,operations[Category],expenses_7[[#This Row],[Category]])</f>
        <v>-300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SUMIFS(operations[Amount],operations[Bank],flow_7[[#This Row],[Bank]],operations[Product],flow_7[[#This Row],[Product]],operations[Month],$B$11)</f>
        <v>-30</v>
      </c>
      <c r="E7" s="6">
        <f ca="1">flow_7[[#This Row],[Opening balance]]+flow_7[[#This Row],[Operations]]</f>
        <v>170</v>
      </c>
      <c r="G7" t="s">
        <v>27</v>
      </c>
      <c r="H7" s="6">
        <f ca="1">SUMIFS(operations[Amount],operations[Month],$B$11,operations[Category],incomes_7[[#This Row],[Category]])</f>
        <v>500</v>
      </c>
      <c r="J7" t="s">
        <v>19</v>
      </c>
      <c r="K7" s="6">
        <f ca="1">SUMIFS(operations[Amount],operations[Month],$B$11,operations[Category],expenses_7[[#This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SUMIFS(operations[Amount],operations[Bank],flow_7[[#This Row],[Bank]],operations[Product],flow_7[[#This Row],[Product]],operations[Month],$B$11)</f>
        <v>0</v>
      </c>
      <c r="E8" s="6">
        <f ca="1">flow_7[[#This Row],[Opening balance]]+flow_7[[#This Row],[Operations]]</f>
        <v>30</v>
      </c>
      <c r="G8" t="s">
        <v>37</v>
      </c>
      <c r="H8" s="6">
        <f ca="1">SUBTOTAL(109,incomes_7[Total])</f>
        <v>5920</v>
      </c>
      <c r="J8" t="s">
        <v>24</v>
      </c>
      <c r="K8" s="6">
        <f ca="1">SUMIFS(operations[Amount],operations[Month],$B$11,operations[Category],expenses_7[[#This Row],[Category]])</f>
        <v>0</v>
      </c>
    </row>
    <row r="9" spans="1:11" x14ac:dyDescent="0.25">
      <c r="A9" s="1" t="s">
        <v>37</v>
      </c>
      <c r="B9" s="1"/>
      <c r="C9" s="6">
        <f ca="1">SUBTOTAL(109,flow_7[Opening balance])</f>
        <v>3309</v>
      </c>
      <c r="D9" s="6">
        <f ca="1">SUBTOTAL(109,flow_7[Operations])</f>
        <v>2915</v>
      </c>
      <c r="E9" s="6">
        <f ca="1">SUBTOTAL(109,flow_7[Closing balance])</f>
        <v>6224</v>
      </c>
      <c r="J9" t="s">
        <v>23</v>
      </c>
      <c r="K9" s="6">
        <f ca="1">SUMIFS(operations[Amount],operations[Month],$B$11,operations[Category],expenses_7[[#This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SUMIFS(operations[Amount],operations[Month],$B$11,operations[Category],expenses_7[[#This Row],[Category]])</f>
        <v>-90</v>
      </c>
    </row>
    <row r="11" spans="1:11" x14ac:dyDescent="0.25">
      <c r="A11" s="1" t="s">
        <v>6</v>
      </c>
      <c r="B11" t="str" cm="1">
        <f t="array" aca="1" ref="B11" ca="1">_xlfn.TEXTAFTER(CELL("filename",A1),"]")</f>
        <v>7</v>
      </c>
      <c r="J11" t="s">
        <v>37</v>
      </c>
      <c r="K11" s="6">
        <f ca="1">SUBTOTAL(109,expenses_7[Total])</f>
        <v>-3005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6">
        <f ca="1">SUMIFS(operations[Amount],operations[Month],$B$11,operations[Type],balance_7[[#This Row],[Type]])</f>
        <v>5920</v>
      </c>
    </row>
    <row r="16" spans="1:11" x14ac:dyDescent="0.25">
      <c r="A16" t="s">
        <v>31</v>
      </c>
      <c r="B16" s="6">
        <f ca="1">SUMIFS(operations[Amount],operations[Month],$B$11,operations[Type],balance_7[[#This Row],[Type]])</f>
        <v>0</v>
      </c>
    </row>
    <row r="17" spans="1:2" x14ac:dyDescent="0.25">
      <c r="A17" t="s">
        <v>37</v>
      </c>
      <c r="B17" s="6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7152-C969-4FCE-A184-B47605166887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368.5</v>
      </c>
      <c r="D2" s="6">
        <f ca="1">SUMIFS(operations[Amount],operations[Bank],flow_8[[#This Row],[Bank]],operations[Product],flow_8[[#This Row],[Product]],operations[Month],$B$11)</f>
        <v>200</v>
      </c>
      <c r="E2" s="6">
        <f ca="1">flow_8[[#This Row],[Opening balance]]+flow_8[[#This Row],[Operations]]</f>
        <v>568.5</v>
      </c>
      <c r="G2" t="s">
        <v>25</v>
      </c>
      <c r="H2" s="6">
        <f ca="1">SUMIFS(operations[Amount],operations[Month],$B$11,operations[Category],incomes_8[[#This Row],[Category]])</f>
        <v>0</v>
      </c>
      <c r="J2" t="s">
        <v>18</v>
      </c>
      <c r="K2" s="6">
        <f ca="1">SUMIFS(operations[Amount],operations[Month],$B$11,operations[Category],expenses_9[[#This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SUMIFS(operations[Amount],operations[Bank],flow_8[[#This Row],[Bank]],operations[Product],flow_8[[#This Row],[Product]],operations[Month],$B$11)</f>
        <v>-300</v>
      </c>
      <c r="E3" s="6">
        <f ca="1">flow_8[[#This Row],[Opening balance]]+flow_8[[#This Row],[Operations]]</f>
        <v>-289.5</v>
      </c>
      <c r="G3" t="s">
        <v>28</v>
      </c>
      <c r="H3" s="6">
        <f ca="1">SUMIFS(operations[Amount],operations[Month],$B$11,operations[Category],incomes_8[[#This Row],[Category]])</f>
        <v>0</v>
      </c>
      <c r="J3" t="s">
        <v>22</v>
      </c>
      <c r="K3" s="6">
        <f ca="1">SUMIFS(operations[Amount],operations[Month],$B$11,operations[Category],expenses_9[[#This Row],[Category]])</f>
        <v>-300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SUMIFS(operations[Amount],operations[Bank],flow_8[[#This Row],[Bank]],operations[Product],flow_8[[#This Row],[Product]],operations[Month],$B$11)</f>
        <v>2495</v>
      </c>
      <c r="E4" s="6">
        <f ca="1">flow_8[[#This Row],[Opening balance]]+flow_8[[#This Row],[Operations]]</f>
        <v>3095</v>
      </c>
      <c r="G4" t="s">
        <v>29</v>
      </c>
      <c r="H4" s="6">
        <f ca="1">SUMIFS(operations[Amount],operations[Month],$B$11,operations[Category],incomes_8[[#This Row],[Category]])</f>
        <v>400</v>
      </c>
      <c r="J4" t="s">
        <v>20</v>
      </c>
      <c r="K4" s="6">
        <f ca="1">SUMIFS(operations[Amount],operations[Month],$B$11,operations[Category],expenses_9[[#This Row],[Category]])</f>
        <v>-250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SUMIFS(operations[Amount],operations[Bank],flow_8[[#This Row],[Bank]],operations[Product],flow_8[[#This Row],[Product]],operations[Month],$B$11)</f>
        <v>33</v>
      </c>
      <c r="E5" s="6">
        <f ca="1">flow_8[[#This Row],[Opening balance]]+flow_8[[#This Row],[Operations]]</f>
        <v>33</v>
      </c>
      <c r="G5" t="s">
        <v>30</v>
      </c>
      <c r="H5" s="6">
        <f ca="1">SUMIFS(operations[Amount],operations[Month],$B$11,operations[Category],incomes_8[[#This Row],[Category]])</f>
        <v>0</v>
      </c>
      <c r="J5" t="s">
        <v>17</v>
      </c>
      <c r="K5" s="6">
        <f ca="1">SUMIFS(operations[Amount],operations[Month],$B$11,operations[Category],expenses_9[[#This Row],[Category]])</f>
        <v>-749.5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SUMIFS(operations[Amount],operations[Bank],flow_8[[#This Row],[Bank]],operations[Product],flow_8[[#This Row],[Product]],operations[Month],$B$11)</f>
        <v>-1020</v>
      </c>
      <c r="E6" s="6">
        <f ca="1">flow_8[[#This Row],[Opening balance]]+flow_8[[#This Row],[Operations]]</f>
        <v>980</v>
      </c>
      <c r="G6" t="s">
        <v>26</v>
      </c>
      <c r="H6" s="6">
        <f ca="1">SUMIFS(operations[Amount],operations[Month],$B$11,operations[Category],incomes_8[[#This Row],[Category]])</f>
        <v>4500</v>
      </c>
      <c r="J6" t="s">
        <v>21</v>
      </c>
      <c r="K6" s="6">
        <f ca="1">SUMIFS(operations[Amount],operations[Month],$B$11,operations[Category],expenses_9[[#This Row],[Category]])</f>
        <v>-400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SUMIFS(operations[Amount],operations[Bank],flow_8[[#This Row],[Bank]],operations[Product],flow_8[[#This Row],[Product]],operations[Month],$B$11)</f>
        <v>0</v>
      </c>
      <c r="E7" s="6">
        <f ca="1">flow_8[[#This Row],[Opening balance]]+flow_8[[#This Row],[Operations]]</f>
        <v>200</v>
      </c>
      <c r="G7" t="s">
        <v>27</v>
      </c>
      <c r="H7" s="6">
        <f ca="1">SUMIFS(operations[Amount],operations[Month],$B$11,operations[Category],incomes_8[[#This Row],[Category]])</f>
        <v>500</v>
      </c>
      <c r="J7" t="s">
        <v>19</v>
      </c>
      <c r="K7" s="6">
        <f ca="1">SUMIFS(operations[Amount],operations[Month],$B$11,operations[Category],expenses_9[[#This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SUMIFS(operations[Amount],operations[Bank],flow_8[[#This Row],[Bank]],operations[Product],flow_8[[#This Row],[Product]],operations[Month],$B$11)</f>
        <v>2.5</v>
      </c>
      <c r="E8" s="6">
        <f ca="1">flow_8[[#This Row],[Opening balance]]+flow_8[[#This Row],[Operations]]</f>
        <v>32.5</v>
      </c>
      <c r="G8" t="s">
        <v>37</v>
      </c>
      <c r="H8" s="6">
        <f ca="1">SUBTOTAL(109,incomes_8[Total])</f>
        <v>5400</v>
      </c>
      <c r="J8" t="s">
        <v>24</v>
      </c>
      <c r="K8" s="6">
        <f ca="1">SUMIFS(operations[Amount],operations[Month],$B$11,operations[Category],expenses_9[[#This Row],[Category]])</f>
        <v>0</v>
      </c>
    </row>
    <row r="9" spans="1:11" x14ac:dyDescent="0.25">
      <c r="A9" s="1" t="s">
        <v>37</v>
      </c>
      <c r="B9" s="1"/>
      <c r="C9" s="6">
        <f ca="1">SUBTOTAL(109,flow_8[Opening balance])</f>
        <v>3209</v>
      </c>
      <c r="D9" s="6">
        <f ca="1">SUBTOTAL(109,flow_8[Operations])</f>
        <v>1410.5</v>
      </c>
      <c r="E9" s="6">
        <f ca="1">SUBTOTAL(109,flow_8[Closing balance])</f>
        <v>4619.5</v>
      </c>
      <c r="J9" t="s">
        <v>23</v>
      </c>
      <c r="K9" s="6">
        <f ca="1">SUMIFS(operations[Amount],operations[Month],$B$11,operations[Category],expenses_9[[#This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SUMIFS(operations[Amount],operations[Month],$B$11,operations[Category],expenses_9[[#This Row],[Category]])</f>
        <v>-290</v>
      </c>
    </row>
    <row r="11" spans="1:11" x14ac:dyDescent="0.25">
      <c r="A11" s="1" t="s">
        <v>6</v>
      </c>
      <c r="B11" t="str" cm="1">
        <f t="array" aca="1" ref="B11" ca="1">_xlfn.TEXTAFTER(CELL("filename",A1),"]")</f>
        <v>8</v>
      </c>
      <c r="J11" t="s">
        <v>37</v>
      </c>
      <c r="K11" s="6">
        <f ca="1">SUBTOTAL(109,expenses_9[Total])</f>
        <v>-3989.5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6">
        <f ca="1">SUMIFS(operations[Amount],operations[Month],$B$11,operations[Type],balance_8[[#This Row],[Type]])</f>
        <v>5400</v>
      </c>
    </row>
    <row r="16" spans="1:11" x14ac:dyDescent="0.25">
      <c r="A16" t="s">
        <v>31</v>
      </c>
      <c r="B16" s="6">
        <f ca="1">SUMIFS(operations[Amount],operations[Month],$B$11,operations[Type],balance_8[[#This Row],[Type]])</f>
        <v>0</v>
      </c>
    </row>
    <row r="17" spans="1:2" x14ac:dyDescent="0.25">
      <c r="A17" t="s">
        <v>37</v>
      </c>
      <c r="B17" s="6">
        <f ca="1">SUBTOTAL(109,balance_8[Total])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8995-2855-4325-9039-E164B4EA8F37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568.5</v>
      </c>
      <c r="D2" s="6">
        <f ca="1">SUMIFS(operations[Amount],operations[Bank],flow_9[[#This Row],[Bank]],operations[Product],flow_9[[#This Row],[Product]],operations[Month],$B$11)</f>
        <v>-20</v>
      </c>
      <c r="E2" s="6">
        <f ca="1">flow_9[[#This Row],[Opening balance]]+flow_9[[#This Row],[Operations]]</f>
        <v>548.5</v>
      </c>
      <c r="G2" t="s">
        <v>25</v>
      </c>
      <c r="H2" s="6">
        <f ca="1">SUMIFS(operations[Amount],operations[Month],$B$11,operations[Category],incomes_9[[#This Row],[Category]])</f>
        <v>0</v>
      </c>
      <c r="J2" t="s">
        <v>18</v>
      </c>
      <c r="K2" s="6">
        <f ca="1">SUMIFS(operations[Amount],operations[Month],$B$11,operations[Category],expenses_8[[#This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SUMIFS(operations[Amount],operations[Bank],flow_9[[#This Row],[Bank]],operations[Product],flow_9[[#This Row],[Product]],operations[Month],$B$11)</f>
        <v>0</v>
      </c>
      <c r="E3" s="6">
        <f ca="1">flow_9[[#This Row],[Opening balance]]+flow_9[[#This Row],[Operations]]</f>
        <v>10.5</v>
      </c>
      <c r="G3" t="s">
        <v>28</v>
      </c>
      <c r="H3" s="6">
        <f ca="1">SUMIFS(operations[Amount],operations[Month],$B$11,operations[Category],incomes_9[[#This Row],[Category]])</f>
        <v>0</v>
      </c>
      <c r="J3" t="s">
        <v>22</v>
      </c>
      <c r="K3" s="6">
        <f ca="1">SUMIFS(operations[Amount],operations[Month],$B$11,operations[Category],expenses_8[[#This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SUMIFS(operations[Amount],operations[Bank],flow_9[[#This Row],[Bank]],operations[Product],flow_9[[#This Row],[Product]],operations[Month],$B$11)</f>
        <v>1689.5</v>
      </c>
      <c r="E4" s="6">
        <f ca="1">flow_9[[#This Row],[Opening balance]]+flow_9[[#This Row],[Operations]]</f>
        <v>2289.5</v>
      </c>
      <c r="G4" t="s">
        <v>29</v>
      </c>
      <c r="H4" s="6">
        <f ca="1">SUMIFS(operations[Amount],operations[Month],$B$11,operations[Category],incomes_9[[#This Row],[Category]])</f>
        <v>0</v>
      </c>
      <c r="J4" t="s">
        <v>20</v>
      </c>
      <c r="K4" s="6">
        <f ca="1">SUMIFS(operations[Amount],operations[Month],$B$11,operations[Category],expenses_8[[#This Row],[Category]])</f>
        <v>-20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SUMIFS(operations[Amount],operations[Bank],flow_9[[#This Row],[Bank]],operations[Product],flow_9[[#This Row],[Product]],operations[Month],$B$11)</f>
        <v>82</v>
      </c>
      <c r="E5" s="6">
        <f ca="1">flow_9[[#This Row],[Opening balance]]+flow_9[[#This Row],[Operations]]</f>
        <v>82</v>
      </c>
      <c r="G5" t="s">
        <v>30</v>
      </c>
      <c r="H5" s="6">
        <f ca="1">SUMIFS(operations[Amount],operations[Month],$B$11,operations[Category],incomes_9[[#This Row],[Category]])</f>
        <v>0</v>
      </c>
      <c r="J5" t="s">
        <v>17</v>
      </c>
      <c r="K5" s="6">
        <f ca="1">SUMIFS(operations[Amount],operations[Month],$B$11,operations[Category],expenses_8[[#This Row],[Category]])</f>
        <v>-538.5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SUMIFS(operations[Amount],operations[Bank],flow_9[[#This Row],[Bank]],operations[Product],flow_9[[#This Row],[Product]],operations[Month],$B$11)</f>
        <v>0</v>
      </c>
      <c r="E6" s="6">
        <f ca="1">flow_9[[#This Row],[Opening balance]]+flow_9[[#This Row],[Operations]]</f>
        <v>2000</v>
      </c>
      <c r="G6" t="s">
        <v>26</v>
      </c>
      <c r="H6" s="6">
        <f ca="1">SUMIFS(operations[Amount],operations[Month],$B$11,operations[Category],incomes_9[[#This Row],[Category]])</f>
        <v>4500</v>
      </c>
      <c r="J6" t="s">
        <v>21</v>
      </c>
      <c r="K6" s="6">
        <f ca="1">SUMIFS(operations[Amount],operations[Month],$B$11,operations[Category],expenses_8[[#This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SUMIFS(operations[Amount],operations[Bank],flow_9[[#This Row],[Bank]],operations[Product],flow_9[[#This Row],[Product]],operations[Month],$B$11)</f>
        <v>0</v>
      </c>
      <c r="E7" s="6">
        <f ca="1">flow_9[[#This Row],[Opening balance]]+flow_9[[#This Row],[Operations]]</f>
        <v>200</v>
      </c>
      <c r="G7" t="s">
        <v>27</v>
      </c>
      <c r="H7" s="6">
        <f ca="1">SUMIFS(operations[Amount],operations[Month],$B$11,operations[Category],incomes_9[[#This Row],[Category]])</f>
        <v>0</v>
      </c>
      <c r="J7" t="s">
        <v>19</v>
      </c>
      <c r="K7" s="6">
        <f ca="1">SUMIFS(operations[Amount],operations[Month],$B$11,operations[Category],expenses_8[[#This Row],[Category]])</f>
        <v>-40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SUMIFS(operations[Amount],operations[Bank],flow_9[[#This Row],[Bank]],operations[Product],flow_9[[#This Row],[Product]],operations[Month],$B$11)</f>
        <v>0</v>
      </c>
      <c r="E8" s="6">
        <f ca="1">flow_9[[#This Row],[Opening balance]]+flow_9[[#This Row],[Operations]]</f>
        <v>30</v>
      </c>
      <c r="G8" t="s">
        <v>37</v>
      </c>
      <c r="H8" s="6">
        <f ca="1">SUBTOTAL(109,incomes_9[Total])</f>
        <v>4500</v>
      </c>
      <c r="J8" t="s">
        <v>24</v>
      </c>
      <c r="K8" s="6">
        <f ca="1">SUMIFS(operations[Amount],operations[Month],$B$11,operations[Category],expenses_8[[#This Row],[Category]])</f>
        <v>0</v>
      </c>
    </row>
    <row r="9" spans="1:11" x14ac:dyDescent="0.25">
      <c r="A9" s="1" t="s">
        <v>37</v>
      </c>
      <c r="B9" s="1"/>
      <c r="C9" s="6">
        <f ca="1">SUBTOTAL(109,flow_9[Opening balance])</f>
        <v>3409</v>
      </c>
      <c r="D9" s="6">
        <f ca="1">SUBTOTAL(109,flow_9[Operations])</f>
        <v>1751.5</v>
      </c>
      <c r="E9" s="6">
        <f ca="1">SUBTOTAL(109,flow_9[Closing balance])</f>
        <v>5160.5</v>
      </c>
      <c r="J9" t="s">
        <v>23</v>
      </c>
      <c r="K9" s="6">
        <f ca="1">SUMIFS(operations[Amount],operations[Month],$B$11,operations[Category],expenses_8[[#This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SUMIFS(operations[Amount],operations[Month],$B$11,operations[Category],expenses_8[[#This Row],[Category]])</f>
        <v>-150</v>
      </c>
    </row>
    <row r="11" spans="1:11" x14ac:dyDescent="0.25">
      <c r="A11" s="1" t="s">
        <v>6</v>
      </c>
      <c r="B11" t="str" cm="1">
        <f t="array" aca="1" ref="B11" ca="1">_xlfn.TEXTAFTER(CELL("filename",A1),"]")</f>
        <v>9</v>
      </c>
      <c r="J11" t="s">
        <v>37</v>
      </c>
      <c r="K11" s="6">
        <f ca="1">SUBTOTAL(109,expenses_8[Total])</f>
        <v>-2748.5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6">
        <f ca="1">SUMIFS(operations[Amount],operations[Month],$B$11,operations[Type],balance_9[[#This Row],[Type]])</f>
        <v>4500</v>
      </c>
    </row>
    <row r="16" spans="1:11" x14ac:dyDescent="0.25">
      <c r="A16" t="s">
        <v>31</v>
      </c>
      <c r="B16" s="6">
        <f ca="1">SUMIFS(operations[Amount],operations[Month],$B$11,operations[Type],balance_9[[#This Row],[Type]])</f>
        <v>0</v>
      </c>
    </row>
    <row r="17" spans="1:2" x14ac:dyDescent="0.25">
      <c r="A17" t="s">
        <v>37</v>
      </c>
      <c r="B17" s="6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5CE8-B929-4335-8580-96430F1F0198}">
  <dimension ref="A1:K17"/>
  <sheetViews>
    <sheetView workbookViewId="0">
      <selection activeCell="A16" sqref="A16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SUMIFS(operations[Amount],operations[Bank],flow_10[[#This Row],[Bank]],operations[Product],flow_10[[#This Row],[Product]],operations[Month],$B$11)</f>
        <v>0</v>
      </c>
      <c r="E2" s="6">
        <f ca="1">flow_10[[#This Row],[Opening balance]]+flow_10[[#This Row],[Operations]]</f>
        <v>548.5</v>
      </c>
      <c r="G2" t="s">
        <v>25</v>
      </c>
      <c r="H2" s="6">
        <f ca="1">SUMIFS(operations[Amount],operations[Month],$B$11,operations[Category],incomes_10[[#This Row],[Category]])</f>
        <v>0</v>
      </c>
      <c r="J2" t="s">
        <v>18</v>
      </c>
      <c r="K2" s="6">
        <f ca="1">SUMIFS(operations[Amount],operations[Month],$B$11,operations[Category],expenses_10[[#This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SUMIFS(operations[Amount],operations[Bank],flow_10[[#This Row],[Bank]],operations[Product],flow_10[[#This Row],[Product]],operations[Month],$B$11)</f>
        <v>0</v>
      </c>
      <c r="E3" s="6">
        <f ca="1">flow_10[[#This Row],[Opening balance]]+flow_10[[#This Row],[Operations]]</f>
        <v>10.5</v>
      </c>
      <c r="G3" t="s">
        <v>28</v>
      </c>
      <c r="H3" s="6">
        <f ca="1">SUMIFS(operations[Amount],operations[Month],$B$11,operations[Category],incomes_10[[#This Row],[Category]])</f>
        <v>0</v>
      </c>
      <c r="J3" t="s">
        <v>22</v>
      </c>
      <c r="K3" s="6">
        <f ca="1">SUMIFS(operations[Amount],operations[Month],$B$11,operations[Category],expenses_10[[#This Row],[Category]])</f>
        <v>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SUMIFS(operations[Amount],operations[Bank],flow_10[[#This Row],[Bank]],operations[Product],flow_10[[#This Row],[Product]],operations[Month],$B$11)</f>
        <v>1690</v>
      </c>
      <c r="E4" s="6">
        <f ca="1">flow_10[[#This Row],[Opening balance]]+flow_10[[#This Row],[Operations]]</f>
        <v>2290</v>
      </c>
      <c r="G4" t="s">
        <v>29</v>
      </c>
      <c r="H4" s="6">
        <f ca="1">SUMIFS(operations[Amount],operations[Month],$B$11,operations[Category],incomes_10[[#This Row],[Category]])</f>
        <v>0</v>
      </c>
      <c r="J4" t="s">
        <v>20</v>
      </c>
      <c r="K4" s="6">
        <f ca="1">SUMIFS(operations[Amount],operations[Month],$B$11,operations[Category],expenses_10[[#This Row],[Category]])</f>
        <v>-40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SUMIFS(operations[Amount],operations[Bank],flow_10[[#This Row],[Bank]],operations[Product],flow_10[[#This Row],[Product]],operations[Month],$B$11)</f>
        <v>-20</v>
      </c>
      <c r="E5" s="6">
        <f ca="1">flow_10[[#This Row],[Opening balance]]+flow_10[[#This Row],[Operations]]</f>
        <v>-20</v>
      </c>
      <c r="G5" t="s">
        <v>30</v>
      </c>
      <c r="H5" s="6">
        <f ca="1">SUMIFS(operations[Amount],operations[Month],$B$11,operations[Category],incomes_10[[#This Row],[Category]])</f>
        <v>0</v>
      </c>
      <c r="J5" t="s">
        <v>17</v>
      </c>
      <c r="K5" s="6">
        <f ca="1">SUMIFS(operations[Amount],operations[Month],$B$11,operations[Category],expenses_10[[#This Row],[Category]])</f>
        <v>-600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SUMIFS(operations[Amount],operations[Bank],flow_10[[#This Row],[Bank]],operations[Product],flow_10[[#This Row],[Product]],operations[Month],$B$11)</f>
        <v>0</v>
      </c>
      <c r="E6" s="6">
        <f ca="1">flow_10[[#This Row],[Opening balance]]+flow_10[[#This Row],[Operations]]</f>
        <v>2000</v>
      </c>
      <c r="G6" t="s">
        <v>26</v>
      </c>
      <c r="H6" s="6">
        <f ca="1">SUMIFS(operations[Amount],operations[Month],$B$11,operations[Category],incomes_10[[#This Row],[Category]])</f>
        <v>4500</v>
      </c>
      <c r="J6" t="s">
        <v>21</v>
      </c>
      <c r="K6" s="6">
        <f ca="1">SUMIFS(operations[Amount],operations[Month],$B$11,operations[Category],expenses_10[[#This Row],[Category]])</f>
        <v>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SUMIFS(operations[Amount],operations[Bank],flow_10[[#This Row],[Bank]],operations[Product],flow_10[[#This Row],[Product]],operations[Month],$B$11)</f>
        <v>0</v>
      </c>
      <c r="E7" s="6">
        <f ca="1">flow_10[[#This Row],[Opening balance]]+flow_10[[#This Row],[Operations]]</f>
        <v>200</v>
      </c>
      <c r="G7" t="s">
        <v>27</v>
      </c>
      <c r="H7" s="6">
        <f ca="1">SUMIFS(operations[Amount],operations[Month],$B$11,operations[Category],incomes_10[[#This Row],[Category]])</f>
        <v>0</v>
      </c>
      <c r="J7" t="s">
        <v>19</v>
      </c>
      <c r="K7" s="6">
        <f ca="1">SUMIFS(operations[Amount],operations[Month],$B$11,operations[Category],expenses_10[[#This Row],[Category]])</f>
        <v>-40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SUMIFS(operations[Amount],operations[Bank],flow_10[[#This Row],[Bank]],operations[Product],flow_10[[#This Row],[Product]],operations[Month],$B$11)</f>
        <v>0</v>
      </c>
      <c r="E8" s="6">
        <f ca="1">flow_10[[#This Row],[Opening balance]]+flow_10[[#This Row],[Operations]]</f>
        <v>30</v>
      </c>
      <c r="G8" t="s">
        <v>37</v>
      </c>
      <c r="H8" s="6">
        <f ca="1">SUBTOTAL(109,incomes_10[Total])</f>
        <v>4500</v>
      </c>
      <c r="J8" t="s">
        <v>24</v>
      </c>
      <c r="K8" s="6">
        <f ca="1">SUMIFS(operations[Amount],operations[Month],$B$11,operations[Category],expenses_10[[#This Row],[Category]])</f>
        <v>0</v>
      </c>
    </row>
    <row r="9" spans="1:11" x14ac:dyDescent="0.25">
      <c r="A9" s="1" t="s">
        <v>37</v>
      </c>
      <c r="B9" s="1"/>
      <c r="C9" s="6">
        <f ca="1">SUBTOTAL(109,flow_10[Opening balance])</f>
        <v>3389</v>
      </c>
      <c r="D9" s="6">
        <f ca="1">SUBTOTAL(109,flow_10[Operations])</f>
        <v>1670</v>
      </c>
      <c r="E9" s="6">
        <f ca="1">SUBTOTAL(109,flow_10[Closing balance])</f>
        <v>5059</v>
      </c>
      <c r="J9" t="s">
        <v>23</v>
      </c>
      <c r="K9" s="6">
        <f ca="1">SUMIFS(operations[Amount],operations[Month],$B$11,operations[Category],expenses_10[[#This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SUMIFS(operations[Amount],operations[Month],$B$11,operations[Category],expenses_10[[#This Row],[Category]])</f>
        <v>-150</v>
      </c>
    </row>
    <row r="11" spans="1:11" x14ac:dyDescent="0.25">
      <c r="A11" s="1" t="s">
        <v>6</v>
      </c>
      <c r="B11" t="str" cm="1">
        <f t="array" aca="1" ref="B11" ca="1">_xlfn.TEXTAFTER(CELL("filename",A1),"]")</f>
        <v>10</v>
      </c>
      <c r="J11" t="s">
        <v>37</v>
      </c>
      <c r="K11" s="6">
        <f ca="1">SUBTOTAL(109,expenses_10[Total])</f>
        <v>-2830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6">
        <f ca="1">SUMIFS(operations[Amount],operations[Month],$B$11,operations[Type],balance_10[[#This Row],[Type]])</f>
        <v>4500</v>
      </c>
    </row>
    <row r="16" spans="1:11" x14ac:dyDescent="0.25">
      <c r="A16" t="s">
        <v>31</v>
      </c>
      <c r="B16" s="6">
        <f ca="1">SUMIFS(operations[Amount],operations[Month],$B$11,operations[Type],balance_10[[#This Row],[Type]])</f>
        <v>0</v>
      </c>
    </row>
    <row r="17" spans="1:2" x14ac:dyDescent="0.25">
      <c r="A17" t="s">
        <v>37</v>
      </c>
      <c r="B17" s="6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F3A2-9DB3-4460-929A-C2570B0B1CA1}">
  <dimension ref="A1:K17"/>
  <sheetViews>
    <sheetView workbookViewId="0">
      <selection activeCell="D22" sqref="D22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SUMIFS(operations[Amount],operations[Bank],flow_11[[#This Row],[Bank]],operations[Product],flow_11[[#This Row],[Product]],operations[Month],$B$11)</f>
        <v>0</v>
      </c>
      <c r="E2" s="6">
        <f ca="1">flow_11[[#This Row],[Opening balance]]+flow_11[[#This Row],[Operations]]</f>
        <v>548.5</v>
      </c>
      <c r="G2" t="s">
        <v>25</v>
      </c>
      <c r="H2" s="6">
        <f ca="1">SUMIFS(operations[Amount],operations[Month],$B$11,operations[Category],incomes_11[[#This Row],[Category]])</f>
        <v>0</v>
      </c>
      <c r="J2" t="s">
        <v>18</v>
      </c>
      <c r="K2" s="6">
        <f ca="1">SUMIFS(operations[Amount],operations[Month],$B$11,operations[Category],expenses_11[[#This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SUMIFS(operations[Amount],operations[Bank],flow_11[[#This Row],[Bank]],operations[Product],flow_11[[#This Row],[Product]],operations[Month],$B$11)</f>
        <v>0</v>
      </c>
      <c r="E3" s="6">
        <f ca="1">flow_11[[#This Row],[Opening balance]]+flow_11[[#This Row],[Operations]]</f>
        <v>10.5</v>
      </c>
      <c r="G3" t="s">
        <v>28</v>
      </c>
      <c r="H3" s="6">
        <f ca="1">SUMIFS(operations[Amount],operations[Month],$B$11,operations[Category],incomes_11[[#This Row],[Category]])</f>
        <v>0</v>
      </c>
      <c r="J3" t="s">
        <v>22</v>
      </c>
      <c r="K3" s="6">
        <f ca="1">SUMIFS(operations[Amount],operations[Month],$B$11,operations[Category],expenses_11[[#This Row],[Category]])</f>
        <v>-158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SUMIFS(operations[Amount],operations[Bank],flow_11[[#This Row],[Bank]],operations[Product],flow_11[[#This Row],[Product]],operations[Month],$B$11)</f>
        <v>960</v>
      </c>
      <c r="E4" s="6">
        <f ca="1">flow_11[[#This Row],[Opening balance]]+flow_11[[#This Row],[Operations]]</f>
        <v>1560</v>
      </c>
      <c r="G4" t="s">
        <v>29</v>
      </c>
      <c r="H4" s="6">
        <f ca="1">SUMIFS(operations[Amount],operations[Month],$B$11,operations[Category],incomes_11[[#This Row],[Category]])</f>
        <v>400</v>
      </c>
      <c r="J4" t="s">
        <v>20</v>
      </c>
      <c r="K4" s="6">
        <f ca="1">SUMIFS(operations[Amount],operations[Month],$B$11,operations[Category],expenses_11[[#This Row],[Category]])</f>
        <v>-214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SUMIFS(operations[Amount],operations[Bank],flow_11[[#This Row],[Bank]],operations[Product],flow_11[[#This Row],[Product]],operations[Month],$B$11)</f>
        <v>40</v>
      </c>
      <c r="E5" s="6">
        <f ca="1">flow_11[[#This Row],[Opening balance]]+flow_11[[#This Row],[Operations]]</f>
        <v>40</v>
      </c>
      <c r="G5" t="s">
        <v>30</v>
      </c>
      <c r="H5" s="6">
        <f ca="1">SUMIFS(operations[Amount],operations[Month],$B$11,operations[Category],incomes_11[[#This Row],[Category]])</f>
        <v>0</v>
      </c>
      <c r="J5" t="s">
        <v>17</v>
      </c>
      <c r="K5" s="6">
        <f ca="1">SUMIFS(operations[Amount],operations[Month],$B$11,operations[Category],expenses_11[[#This Row],[Category]])</f>
        <v>-506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SUMIFS(operations[Amount],operations[Bank],flow_11[[#This Row],[Bank]],operations[Product],flow_11[[#This Row],[Product]],operations[Month],$B$11)</f>
        <v>0</v>
      </c>
      <c r="E6" s="6">
        <f ca="1">flow_11[[#This Row],[Opening balance]]+flow_11[[#This Row],[Operations]]</f>
        <v>2000</v>
      </c>
      <c r="G6" t="s">
        <v>26</v>
      </c>
      <c r="H6" s="6">
        <f ca="1">SUMIFS(operations[Amount],operations[Month],$B$11,operations[Category],incomes_11[[#This Row],[Category]])</f>
        <v>4500</v>
      </c>
      <c r="J6" t="s">
        <v>21</v>
      </c>
      <c r="K6" s="6">
        <f ca="1">SUMIFS(operations[Amount],operations[Month],$B$11,operations[Category],expenses_11[[#This Row],[Category]])</f>
        <v>-133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SUMIFS(operations[Amount],operations[Bank],flow_11[[#This Row],[Bank]],operations[Product],flow_11[[#This Row],[Product]],operations[Month],$B$11)</f>
        <v>0</v>
      </c>
      <c r="E7" s="6">
        <f ca="1">flow_11[[#This Row],[Opening balance]]+flow_11[[#This Row],[Operations]]</f>
        <v>200</v>
      </c>
      <c r="G7" t="s">
        <v>27</v>
      </c>
      <c r="H7" s="6">
        <f ca="1">SUMIFS(operations[Amount],operations[Month],$B$11,operations[Category],incomes_11[[#This Row],[Category]])</f>
        <v>0</v>
      </c>
      <c r="J7" t="s">
        <v>19</v>
      </c>
      <c r="K7" s="6">
        <f ca="1">SUMIFS(operations[Amount],operations[Month],$B$11,operations[Category],expenses_11[[#This Row],[Category]])</f>
        <v>-47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SUMIFS(operations[Amount],operations[Bank],flow_11[[#This Row],[Bank]],operations[Product],flow_11[[#This Row],[Product]],operations[Month],$B$11)</f>
        <v>400</v>
      </c>
      <c r="E8" s="6">
        <f ca="1">flow_11[[#This Row],[Opening balance]]+flow_11[[#This Row],[Operations]]</f>
        <v>430</v>
      </c>
      <c r="G8" t="s">
        <v>37</v>
      </c>
      <c r="H8" s="6">
        <f ca="1">SUBTOTAL(109,incomes_11[Total])</f>
        <v>4900</v>
      </c>
      <c r="J8" t="s">
        <v>24</v>
      </c>
      <c r="K8" s="6">
        <f ca="1">SUMIFS(operations[Amount],operations[Month],$B$11,operations[Category],expenses_11[[#This Row],[Category]])</f>
        <v>-234</v>
      </c>
    </row>
    <row r="9" spans="1:11" x14ac:dyDescent="0.25">
      <c r="A9" s="1" t="s">
        <v>37</v>
      </c>
      <c r="B9" s="1"/>
      <c r="C9" s="6">
        <f ca="1">SUBTOTAL(109,flow_11[Opening balance])</f>
        <v>3389</v>
      </c>
      <c r="D9" s="6">
        <f ca="1">SUBTOTAL(109,flow_11[Operations])</f>
        <v>1400</v>
      </c>
      <c r="E9" s="6">
        <f ca="1">SUBTOTAL(109,flow_11[Closing balance])</f>
        <v>4789</v>
      </c>
      <c r="J9" t="s">
        <v>23</v>
      </c>
      <c r="K9" s="6">
        <f ca="1">SUMIFS(operations[Amount],operations[Month],$B$11,operations[Category],expenses_11[[#This Row],[Category]])</f>
        <v>0</v>
      </c>
    </row>
    <row r="10" spans="1:11" x14ac:dyDescent="0.25">
      <c r="J10" t="s">
        <v>16</v>
      </c>
      <c r="K10" s="6">
        <f ca="1">SUMIFS(operations[Amount],operations[Month],$B$11,operations[Category],expenses_11[[#This Row],[Category]])</f>
        <v>-208</v>
      </c>
    </row>
    <row r="11" spans="1:11" x14ac:dyDescent="0.25">
      <c r="A11" s="1" t="s">
        <v>6</v>
      </c>
      <c r="B11" t="str" cm="1">
        <f t="array" aca="1" ref="B11" ca="1">_xlfn.TEXTAFTER(CELL("filename",A1),"]")</f>
        <v>11</v>
      </c>
      <c r="J11" t="s">
        <v>37</v>
      </c>
      <c r="K11" s="6">
        <f ca="1">SUBTOTAL(109,expenses_11[Total])</f>
        <v>-3500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6">
        <f ca="1">SUMIFS(operations[Amount],operations[Month],$B$11,operations[Type],balance_11[[#This Row],[Type]])</f>
        <v>4900</v>
      </c>
    </row>
    <row r="16" spans="1:11" x14ac:dyDescent="0.25">
      <c r="A16" t="s">
        <v>31</v>
      </c>
      <c r="B16" s="6">
        <f ca="1">SUMIFS(operations[Amount],operations[Month],$B$11,operations[Type],balance_11[[#This Row],[Type]])</f>
        <v>0</v>
      </c>
    </row>
    <row r="17" spans="1:2" x14ac:dyDescent="0.25">
      <c r="A17" t="s">
        <v>37</v>
      </c>
      <c r="B17" s="6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7006-78EC-4E7E-A1C5-EAF85D69428A}">
  <dimension ref="A1:K17"/>
  <sheetViews>
    <sheetView workbookViewId="0">
      <selection activeCell="G25" sqref="G25"/>
    </sheetView>
  </sheetViews>
  <sheetFormatPr defaultRowHeight="15" x14ac:dyDescent="0.25"/>
  <cols>
    <col min="1" max="1" width="12" customWidth="1"/>
    <col min="2" max="2" width="20" customWidth="1"/>
    <col min="3" max="3" width="19.85546875" bestFit="1" customWidth="1"/>
    <col min="4" max="4" width="13" customWidth="1"/>
    <col min="5" max="5" width="18" customWidth="1"/>
    <col min="7" max="7" width="13.7109375" customWidth="1"/>
    <col min="8" max="8" width="11.42578125" bestFit="1" customWidth="1"/>
    <col min="9" max="9" width="10.42578125" customWidth="1"/>
    <col min="10" max="10" width="16.5703125" customWidth="1"/>
    <col min="11" max="11" width="11.42578125" bestFit="1" customWidth="1"/>
  </cols>
  <sheetData>
    <row r="1" spans="1:11" x14ac:dyDescent="0.25">
      <c r="A1" s="1" t="s">
        <v>0</v>
      </c>
      <c r="B1" s="1" t="s">
        <v>2</v>
      </c>
      <c r="C1" s="6" t="s">
        <v>34</v>
      </c>
      <c r="D1" s="6" t="s">
        <v>35</v>
      </c>
      <c r="E1" s="6" t="s">
        <v>36</v>
      </c>
      <c r="G1" t="s">
        <v>3</v>
      </c>
      <c r="H1" s="6" t="s">
        <v>37</v>
      </c>
      <c r="J1" t="s">
        <v>3</v>
      </c>
      <c r="K1" s="6" t="s">
        <v>37</v>
      </c>
    </row>
    <row r="2" spans="1:11" x14ac:dyDescent="0.25">
      <c r="A2" s="1" t="s">
        <v>11</v>
      </c>
      <c r="B2" s="1" t="s">
        <v>8</v>
      </c>
      <c r="C2" s="6" cm="1">
        <f t="array" aca="1" ref="C2" ca="1">INDIRECT("flow_"&amp;$B$11-1&amp;"[@[Closing balance]]")</f>
        <v>548.5</v>
      </c>
      <c r="D2" s="6">
        <f ca="1">SUMIFS(operations[Amount],operations[Bank],flow_12[[#This Row],[Bank]],operations[Product],flow_12[[#This Row],[Product]],operations[Month],$B$11)</f>
        <v>0</v>
      </c>
      <c r="E2" s="6">
        <f ca="1">flow_12[[#This Row],[Opening balance]]+flow_12[[#This Row],[Operations]]</f>
        <v>548.5</v>
      </c>
      <c r="G2" t="s">
        <v>25</v>
      </c>
      <c r="H2" s="6">
        <f ca="1">SUMIFS(operations[Amount],operations[Month],$B$11,operations[Category],incomes_12[[#This Row],[Category]])</f>
        <v>0</v>
      </c>
      <c r="J2" t="s">
        <v>18</v>
      </c>
      <c r="K2" s="6">
        <f ca="1">SUMIFS(operations[Amount],operations[Month],$B$11,operations[Category],expenses_12[[#This Row],[Category]])</f>
        <v>-2000</v>
      </c>
    </row>
    <row r="3" spans="1:11" x14ac:dyDescent="0.25">
      <c r="A3" s="1" t="s">
        <v>11</v>
      </c>
      <c r="B3" s="1" t="s">
        <v>12</v>
      </c>
      <c r="C3" s="6">
        <v>10.5</v>
      </c>
      <c r="D3" s="6">
        <f ca="1">SUMIFS(operations[Amount],operations[Bank],flow_12[[#This Row],[Bank]],operations[Product],flow_12[[#This Row],[Product]],operations[Month],$B$11)</f>
        <v>0</v>
      </c>
      <c r="E3" s="6">
        <f ca="1">flow_12[[#This Row],[Opening balance]]+flow_12[[#This Row],[Operations]]</f>
        <v>10.5</v>
      </c>
      <c r="G3" t="s">
        <v>28</v>
      </c>
      <c r="H3" s="6">
        <f ca="1">SUMIFS(operations[Amount],operations[Month],$B$11,operations[Category],incomes_12[[#This Row],[Category]])</f>
        <v>0</v>
      </c>
      <c r="J3" t="s">
        <v>22</v>
      </c>
      <c r="K3" s="6">
        <f ca="1">SUMIFS(operations[Amount],operations[Month],$B$11,operations[Category],expenses_12[[#This Row],[Category]])</f>
        <v>-120</v>
      </c>
    </row>
    <row r="4" spans="1:11" x14ac:dyDescent="0.25">
      <c r="A4" s="1" t="s">
        <v>7</v>
      </c>
      <c r="B4" s="1" t="s">
        <v>8</v>
      </c>
      <c r="C4" s="6">
        <v>600</v>
      </c>
      <c r="D4" s="6">
        <f ca="1">SUMIFS(operations[Amount],operations[Bank],flow_12[[#This Row],[Bank]],operations[Product],flow_12[[#This Row],[Product]],operations[Month],$B$11)</f>
        <v>1320</v>
      </c>
      <c r="E4" s="6">
        <f ca="1">flow_12[[#This Row],[Opening balance]]+flow_12[[#This Row],[Operations]]</f>
        <v>1920</v>
      </c>
      <c r="G4" t="s">
        <v>29</v>
      </c>
      <c r="H4" s="6">
        <f ca="1">SUMIFS(operations[Amount],operations[Month],$B$11,operations[Category],incomes_12[[#This Row],[Category]])</f>
        <v>2000</v>
      </c>
      <c r="J4" t="s">
        <v>20</v>
      </c>
      <c r="K4" s="6">
        <f ca="1">SUMIFS(operations[Amount],operations[Month],$B$11,operations[Category],expenses_12[[#This Row],[Category]])</f>
        <v>-450</v>
      </c>
    </row>
    <row r="5" spans="1:11" x14ac:dyDescent="0.25">
      <c r="A5" s="1" t="s">
        <v>7</v>
      </c>
      <c r="B5" s="1" t="s">
        <v>9</v>
      </c>
      <c r="C5" s="6">
        <v>0</v>
      </c>
      <c r="D5" s="6">
        <f ca="1">SUMIFS(operations[Amount],operations[Bank],flow_12[[#This Row],[Bank]],operations[Product],flow_12[[#This Row],[Product]],operations[Month],$B$11)</f>
        <v>0</v>
      </c>
      <c r="E5" s="6">
        <f ca="1">flow_12[[#This Row],[Opening balance]]+flow_12[[#This Row],[Operations]]</f>
        <v>0</v>
      </c>
      <c r="G5" t="s">
        <v>30</v>
      </c>
      <c r="H5" s="6">
        <f ca="1">SUMIFS(operations[Amount],operations[Month],$B$11,operations[Category],incomes_12[[#This Row],[Category]])</f>
        <v>0</v>
      </c>
      <c r="J5" t="s">
        <v>17</v>
      </c>
      <c r="K5" s="6">
        <f ca="1">SUMIFS(operations[Amount],operations[Month],$B$11,operations[Category],expenses_12[[#This Row],[Category]])</f>
        <v>-700</v>
      </c>
    </row>
    <row r="6" spans="1:11" x14ac:dyDescent="0.25">
      <c r="A6" s="1" t="s">
        <v>7</v>
      </c>
      <c r="B6" s="1" t="s">
        <v>10</v>
      </c>
      <c r="C6" s="6">
        <v>2000</v>
      </c>
      <c r="D6" s="6">
        <f ca="1">SUMIFS(operations[Amount],operations[Bank],flow_12[[#This Row],[Bank]],operations[Product],flow_12[[#This Row],[Product]],operations[Month],$B$11)</f>
        <v>0</v>
      </c>
      <c r="E6" s="6">
        <f ca="1">flow_12[[#This Row],[Opening balance]]+flow_12[[#This Row],[Operations]]</f>
        <v>2000</v>
      </c>
      <c r="G6" t="s">
        <v>26</v>
      </c>
      <c r="H6" s="6">
        <f ca="1">SUMIFS(operations[Amount],operations[Month],$B$11,operations[Category],incomes_12[[#This Row],[Category]])</f>
        <v>4500</v>
      </c>
      <c r="J6" t="s">
        <v>21</v>
      </c>
      <c r="K6" s="6">
        <f ca="1">SUMIFS(operations[Amount],operations[Month],$B$11,operations[Category],expenses_12[[#This Row],[Category]])</f>
        <v>-10</v>
      </c>
    </row>
    <row r="7" spans="1:11" x14ac:dyDescent="0.25">
      <c r="A7" s="1" t="s">
        <v>13</v>
      </c>
      <c r="B7" s="1" t="s">
        <v>15</v>
      </c>
      <c r="C7" s="6">
        <v>200</v>
      </c>
      <c r="D7" s="6">
        <f ca="1">SUMIFS(operations[Amount],operations[Bank],flow_12[[#This Row],[Bank]],operations[Product],flow_12[[#This Row],[Product]],operations[Month],$B$11)</f>
        <v>0</v>
      </c>
      <c r="E7" s="6">
        <f ca="1">flow_12[[#This Row],[Opening balance]]+flow_12[[#This Row],[Operations]]</f>
        <v>200</v>
      </c>
      <c r="G7" t="s">
        <v>27</v>
      </c>
      <c r="H7" s="6">
        <f ca="1">SUMIFS(operations[Amount],operations[Month],$B$11,operations[Category],incomes_12[[#This Row],[Category]])</f>
        <v>0</v>
      </c>
      <c r="J7" t="s">
        <v>19</v>
      </c>
      <c r="K7" s="6">
        <f ca="1">SUMIFS(operations[Amount],operations[Month],$B$11,operations[Category],expenses_12[[#This Row],[Category]])</f>
        <v>0</v>
      </c>
    </row>
    <row r="8" spans="1:11" x14ac:dyDescent="0.25">
      <c r="A8" s="1" t="s">
        <v>13</v>
      </c>
      <c r="B8" s="1" t="s">
        <v>14</v>
      </c>
      <c r="C8" s="6">
        <v>30</v>
      </c>
      <c r="D8" s="6">
        <f ca="1">SUMIFS(operations[Amount],operations[Bank],flow_12[[#This Row],[Bank]],operations[Product],flow_12[[#This Row],[Product]],operations[Month],$B$11)</f>
        <v>1100</v>
      </c>
      <c r="E8" s="6">
        <f ca="1">flow_12[[#This Row],[Opening balance]]+flow_12[[#This Row],[Operations]]</f>
        <v>1130</v>
      </c>
      <c r="G8" t="s">
        <v>37</v>
      </c>
      <c r="H8" s="6">
        <f ca="1">SUBTOTAL(109,incomes_12[Total])</f>
        <v>6500</v>
      </c>
      <c r="J8" t="s">
        <v>24</v>
      </c>
      <c r="K8" s="6">
        <f ca="1">SUMIFS(operations[Amount],operations[Month],$B$11,operations[Category],expenses_12[[#This Row],[Category]])</f>
        <v>-700</v>
      </c>
    </row>
    <row r="9" spans="1:11" x14ac:dyDescent="0.25">
      <c r="A9" s="1" t="s">
        <v>37</v>
      </c>
      <c r="B9" s="1"/>
      <c r="C9" s="6">
        <f ca="1">SUBTOTAL(109,flow_12[Opening balance])</f>
        <v>3389</v>
      </c>
      <c r="D9" s="6">
        <f ca="1">SUBTOTAL(109,flow_12[Operations])</f>
        <v>2420</v>
      </c>
      <c r="E9" s="6">
        <f ca="1">SUBTOTAL(109,flow_12[Closing balance])</f>
        <v>5809</v>
      </c>
      <c r="J9" t="s">
        <v>23</v>
      </c>
      <c r="K9" s="6">
        <f ca="1">SUMIFS(operations[Amount],operations[Month],$B$11,operations[Category],expenses_12[[#This Row],[Category]])</f>
        <v>-100</v>
      </c>
    </row>
    <row r="10" spans="1:11" x14ac:dyDescent="0.25">
      <c r="J10" t="s">
        <v>16</v>
      </c>
      <c r="K10" s="6">
        <f ca="1">SUMIFS(operations[Amount],operations[Month],$B$11,operations[Category],expenses_12[[#This Row],[Category]])</f>
        <v>0</v>
      </c>
    </row>
    <row r="11" spans="1:11" x14ac:dyDescent="0.25">
      <c r="A11" s="1" t="s">
        <v>6</v>
      </c>
      <c r="B11" t="str" cm="1">
        <f t="array" aca="1" ref="B11" ca="1">_xlfn.TEXTAFTER(CELL("filename",A1),"]")</f>
        <v>12</v>
      </c>
      <c r="J11" t="s">
        <v>37</v>
      </c>
      <c r="K11" s="6">
        <f ca="1">SUBTOTAL(109,expenses_12[Total])</f>
        <v>-4080</v>
      </c>
    </row>
    <row r="13" spans="1:11" x14ac:dyDescent="0.25">
      <c r="A13" t="s">
        <v>4</v>
      </c>
      <c r="B13" s="6" t="s">
        <v>37</v>
      </c>
    </row>
    <row r="14" spans="1:11" x14ac:dyDescent="0.25">
      <c r="A14" t="s">
        <v>32</v>
      </c>
      <c r="B14" s="6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6">
        <f ca="1">SUMIFS(operations[Amount],operations[Month],$B$11,operations[Type],balance_12[[#This Row],[Type]])</f>
        <v>6500</v>
      </c>
    </row>
    <row r="16" spans="1:11" x14ac:dyDescent="0.25">
      <c r="A16" t="s">
        <v>31</v>
      </c>
      <c r="B16" s="6">
        <f ca="1">SUMIFS(operations[Amount],operations[Month],$B$11,operations[Type],balance_12[[#This Row],[Type]])</f>
        <v>0</v>
      </c>
    </row>
    <row r="17" spans="1:2" x14ac:dyDescent="0.25">
      <c r="A17" t="s">
        <v>37</v>
      </c>
      <c r="B17" s="6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summary1</vt:lpstr>
      <vt:lpstr>summary2</vt:lpstr>
      <vt:lpstr>summary3</vt:lpstr>
      <vt:lpstr>operations</vt:lpstr>
      <vt:lpstr>Dicionary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Karolina Gądor</cp:lastModifiedBy>
  <dcterms:created xsi:type="dcterms:W3CDTF">2024-12-14T15:11:08Z</dcterms:created>
  <dcterms:modified xsi:type="dcterms:W3CDTF">2025-12-08T15:20:17Z</dcterms:modified>
</cp:coreProperties>
</file>